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defaultThemeVersion="124226"/>
  <xr:revisionPtr revIDLastSave="0" documentId="13_ncr:1_{2FE07C23-FD6B-40AA-A0F9-F120DF77AA2D}" xr6:coauthVersionLast="47" xr6:coauthVersionMax="47" xr10:uidLastSave="{00000000-0000-0000-0000-000000000000}"/>
  <bookViews>
    <workbookView xWindow="-108" yWindow="-108" windowWidth="23256" windowHeight="12456" activeTab="1" xr2:uid="{00000000-000D-0000-FFFF-FFFF00000000}"/>
  </bookViews>
  <sheets>
    <sheet name="GD" sheetId="14" r:id="rId1"/>
    <sheet name="EST" sheetId="6" r:id="rId2"/>
    <sheet name="RA " sheetId="15" r:id="rId3"/>
    <sheet name="LED TV" sheetId="5" r:id="rId4"/>
    <sheet name="Sound" sheetId="4" r:id="rId5"/>
    <sheet name="chapter 11" sheetId="2"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______T999999">'[1]Dis. Schedule'!#REF!</definedName>
    <definedName name="_________T999999">'[1]Dis. Schedule'!#REF!</definedName>
    <definedName name="________T999999">'[1]Dis. Schedule'!#REF!</definedName>
    <definedName name="_______T999999">'[1]Dis. Schedule'!#REF!</definedName>
    <definedName name="______T999999">'[2]Dis. Schedule'!#REF!</definedName>
    <definedName name="_____T999999">'[2]Dis. Schedule'!#REF!</definedName>
    <definedName name="____T999999">'[2]Dis. Schedule'!#REF!</definedName>
    <definedName name="___T999999">'[2]Dis. Schedule'!#REF!</definedName>
    <definedName name="__T999999">'[2]Dis. Schedule'!#REF!</definedName>
    <definedName name="_amt1" localSheetId="0">#REF!</definedName>
    <definedName name="_amt1">#REF!</definedName>
    <definedName name="_amt5" localSheetId="0">#REF!</definedName>
    <definedName name="_amt5">#REF!</definedName>
    <definedName name="_Fill" localSheetId="0" hidden="1">#REF!</definedName>
    <definedName name="_Fill" localSheetId="2" hidden="1">#REF!</definedName>
    <definedName name="_Fill" hidden="1">#REF!</definedName>
    <definedName name="_nmw1" localSheetId="0">[3]lead!$B$2</definedName>
    <definedName name="_nmw1">[4]lead!$B$2</definedName>
    <definedName name="_qty14" localSheetId="0">[5]Measurement!$H$72</definedName>
    <definedName name="_qty14">[6]Measurement!$H$72</definedName>
    <definedName name="_qty15" localSheetId="0">[5]Measurement!$H$85</definedName>
    <definedName name="_qty15">[6]Measurement!$H$85</definedName>
    <definedName name="_qty16" localSheetId="0">[5]Measurement!$H$91</definedName>
    <definedName name="_qty16">[6]Measurement!$H$91</definedName>
    <definedName name="_qty17" localSheetId="0">[5]Measurement!$H$99</definedName>
    <definedName name="_qty17">[6]Measurement!$H$99</definedName>
    <definedName name="_qty18" localSheetId="0">[5]Measurement!$H$108</definedName>
    <definedName name="_qty18">[6]Measurement!$H$108</definedName>
    <definedName name="_qty7" localSheetId="0">'[7]mes-4'!#REF!</definedName>
    <definedName name="_qty7">'[8]mes-4'!#REF!</definedName>
    <definedName name="_T999999">'[1]Dis. Schedule'!#REF!</definedName>
    <definedName name="_TM1" localSheetId="0">#REF!</definedName>
    <definedName name="_TM1">#REF!</definedName>
    <definedName name="_TM10" localSheetId="0">#REF!</definedName>
    <definedName name="_TM10">#REF!</definedName>
    <definedName name="_TM11" localSheetId="0">#REF!</definedName>
    <definedName name="_TM11">#REF!</definedName>
    <definedName name="_TM12" localSheetId="0">#REF!</definedName>
    <definedName name="_TM12">#REF!</definedName>
    <definedName name="_TM2" localSheetId="0">#REF!</definedName>
    <definedName name="_TM2">#REF!</definedName>
    <definedName name="_TM3" localSheetId="0">#REF!</definedName>
    <definedName name="_TM3">#REF!</definedName>
    <definedName name="_TM4" localSheetId="0">#REF!</definedName>
    <definedName name="_TM4">#REF!</definedName>
    <definedName name="_TM5" localSheetId="0">#REF!</definedName>
    <definedName name="_TM5">#REF!</definedName>
    <definedName name="_TM6" localSheetId="0">#REF!</definedName>
    <definedName name="_TM6">#REF!</definedName>
    <definedName name="_TM7" localSheetId="0">#REF!</definedName>
    <definedName name="_TM7">#REF!</definedName>
    <definedName name="_TM8" localSheetId="0">#REF!</definedName>
    <definedName name="_TM8">#REF!</definedName>
    <definedName name="_TM9" localSheetId="0">#REF!</definedName>
    <definedName name="_TM9">#REF!</definedName>
    <definedName name="a" localSheetId="0" hidden="1">{"'Sheet1'!$A$4386:$N$4591"}</definedName>
    <definedName name="a" hidden="1">{"'Sheet1'!$A$4386:$N$4591"}</definedName>
    <definedName name="a340." localSheetId="0">#REF!</definedName>
    <definedName name="a340.">#REF!</definedName>
    <definedName name="AK" localSheetId="0">#REF!</definedName>
    <definedName name="AK">#REF!</definedName>
    <definedName name="_xlnm.Auto_Open">#REF!</definedName>
    <definedName name="Bust" localSheetId="0">#REF!</definedName>
    <definedName name="Bust" localSheetId="2">#REF!</definedName>
    <definedName name="Bust">#REF!</definedName>
    <definedName name="Continue" localSheetId="0">#REF!</definedName>
    <definedName name="Continue" localSheetId="2">#REF!</definedName>
    <definedName name="Continue">#REF!</definedName>
    <definedName name="cr_excess_demo_room_sheet1" localSheetId="0">[9]Excess!$A$6:$S$72</definedName>
    <definedName name="cr_excess_demo_room_sheet1">[10]Excess!$A$6:$S$72</definedName>
    <definedName name="Document_array" localSheetId="0">{"1F510000"}</definedName>
    <definedName name="Document_array">{"1F510000"}</definedName>
    <definedName name="Documents_array" localSheetId="0">#REF!</definedName>
    <definedName name="Documents_array" localSheetId="2">#REF!</definedName>
    <definedName name="Documents_array">#REF!</definedName>
    <definedName name="eqty" localSheetId="0">#REF!</definedName>
    <definedName name="eqty">#REF!</definedName>
    <definedName name="ford">#REF!</definedName>
    <definedName name="fwr" hidden="1">{"'Sheet1'!$A$4386:$N$4591"}</definedName>
    <definedName name="gram1_11_01" localSheetId="0">#REF!</definedName>
    <definedName name="gram1_11_01">#REF!</definedName>
    <definedName name="Hello" localSheetId="0">#REF!</definedName>
    <definedName name="Hello" localSheetId="2">#REF!</definedName>
    <definedName name="Hello">#REF!</definedName>
    <definedName name="HTML_CodePage" hidden="1">1252</definedName>
    <definedName name="HTML_Control" localSheetId="0" hidden="1">{"'Sheet1'!$A$4386:$N$4591"}</definedName>
    <definedName name="HTML_Control" localSheetId="2" hidden="1">{"'Sheet1'!$A$4386:$N$4591"}</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item1" localSheetId="0">[11]Abstract!$B$7</definedName>
    <definedName name="item1">[12]Abstract!$B$7</definedName>
    <definedName name="item1.1" localSheetId="0">#REF!</definedName>
    <definedName name="item1.1">#REF!</definedName>
    <definedName name="item1.2" localSheetId="0">#REF!</definedName>
    <definedName name="item1.2">#REF!</definedName>
    <definedName name="item1.3" localSheetId="0">#REF!</definedName>
    <definedName name="item1.3">#REF!</definedName>
    <definedName name="item1.4" localSheetId="0">#REF!</definedName>
    <definedName name="item1.4">#REF!</definedName>
    <definedName name="item1.4g" localSheetId="0">[7]RA!$A$93</definedName>
    <definedName name="item1.4g">[8]RA!$A$93</definedName>
    <definedName name="item1.5" localSheetId="0">#REF!</definedName>
    <definedName name="item1.5">#REF!</definedName>
    <definedName name="item1.6" localSheetId="0">[7]RA!$A$48</definedName>
    <definedName name="item1.6">[8]RA!$A$48</definedName>
    <definedName name="item1.7" localSheetId="0">[7]RA!#REF!</definedName>
    <definedName name="item1.7">[8]RA!#REF!</definedName>
    <definedName name="item1.8" localSheetId="0">#REF!</definedName>
    <definedName name="item1.8">#REF!</definedName>
    <definedName name="item2" localSheetId="0">[11]Abstract!$B$13</definedName>
    <definedName name="item2">[12]Abstract!$B$13</definedName>
    <definedName name="item2.1" localSheetId="0">'[7]Abstract-2'!$C$8</definedName>
    <definedName name="item2.1">'[8]Abstract-2'!$C$8</definedName>
    <definedName name="item2.2b" localSheetId="0">[7]RA!#REF!</definedName>
    <definedName name="item2.2b">[8]RA!#REF!</definedName>
    <definedName name="item2.3" localSheetId="0">'[7]Abstract-2'!#REF!</definedName>
    <definedName name="item2.3">'[8]Abstract-2'!#REF!</definedName>
    <definedName name="item3" localSheetId="0">[13]Abs!$B$18</definedName>
    <definedName name="item3">[14]Abs!$B$18</definedName>
    <definedName name="item3.1" localSheetId="0">[7]RA!#REF!</definedName>
    <definedName name="item3.1">[8]RA!#REF!</definedName>
    <definedName name="item3.2" localSheetId="0">[7]RA!#REF!</definedName>
    <definedName name="item3.2">[8]RA!#REF!</definedName>
    <definedName name="item3.3" localSheetId="0">[7]RA!#REF!</definedName>
    <definedName name="item3.3">[8]RA!#REF!</definedName>
    <definedName name="item3.4" localSheetId="0">[7]RA!#REF!</definedName>
    <definedName name="item3.4">[8]RA!#REF!</definedName>
    <definedName name="item3.5" localSheetId="0">#REF!</definedName>
    <definedName name="item3.5">#REF!</definedName>
    <definedName name="item3.7" localSheetId="0">#REF!</definedName>
    <definedName name="item3.7">#REF!</definedName>
    <definedName name="item4" localSheetId="0">[13]Abs!$B$25</definedName>
    <definedName name="item4">[14]Abs!$B$25</definedName>
    <definedName name="item5" localSheetId="0">[13]Abs!$B$32</definedName>
    <definedName name="item5">[14]Abs!$B$32</definedName>
    <definedName name="item5.1" localSheetId="0">#REF!</definedName>
    <definedName name="item5.1">#REF!</definedName>
    <definedName name="item5.2" localSheetId="0">#REF!</definedName>
    <definedName name="item5.2">#REF!</definedName>
    <definedName name="item5.3" localSheetId="0">#REF!</definedName>
    <definedName name="item5.3">#REF!</definedName>
    <definedName name="item5.4" localSheetId="0">#REF!</definedName>
    <definedName name="item5.4">#REF!</definedName>
    <definedName name="item5.5" localSheetId="0">#REF!</definedName>
    <definedName name="item5.5">#REF!</definedName>
    <definedName name="item5.6" localSheetId="0">#REF!</definedName>
    <definedName name="item5.6">#REF!</definedName>
    <definedName name="item5.7" localSheetId="0">#REF!</definedName>
    <definedName name="item5.7">#REF!</definedName>
    <definedName name="item6" localSheetId="0">[13]Abs!$B$39</definedName>
    <definedName name="item6">[14]Abs!$B$39</definedName>
    <definedName name="item8" localSheetId="0">[13]Abs!$B$50</definedName>
    <definedName name="item8">[14]Abs!$B$50</definedName>
    <definedName name="itm3.1" localSheetId="0">#REF!</definedName>
    <definedName name="itm3.1">#REF!</definedName>
    <definedName name="itm3.2" localSheetId="0">#REF!</definedName>
    <definedName name="itm3.2">#REF!</definedName>
    <definedName name="itm3.3" localSheetId="0">#REF!</definedName>
    <definedName name="itm3.3">#REF!</definedName>
    <definedName name="itm3.4" localSheetId="0">#REF!</definedName>
    <definedName name="itm3.4">#REF!</definedName>
    <definedName name="itm3.5" localSheetId="0">#REF!</definedName>
    <definedName name="itm3.5">#REF!</definedName>
    <definedName name="itm3.6" localSheetId="0">#REF!</definedName>
    <definedName name="itm3.6">#REF!</definedName>
    <definedName name="kk" hidden="1">#REF!</definedName>
    <definedName name="L_BitumenSprayer" localSheetId="0">[15]Labour!$D$4</definedName>
    <definedName name="L_BitumenSprayer">[16]Labour!$D$4</definedName>
    <definedName name="L_ChipsSpreader" localSheetId="0">[15]Labour!$D$8</definedName>
    <definedName name="L_ChipsSpreader">[16]Labour!$D$8</definedName>
    <definedName name="L_Mason_1stClass" localSheetId="0">[15]Labour!$D$14</definedName>
    <definedName name="L_Mason_1stClass">[16]Labour!$D$14</definedName>
    <definedName name="L_Mate" localSheetId="0">[15]Labour!$D$16</definedName>
    <definedName name="L_Mate">[16]Labour!$D$16</definedName>
    <definedName name="L_Mazdoor" localSheetId="0">[15]Labour!$D$17</definedName>
    <definedName name="L_Mazdoor">[16]Labour!$D$17</definedName>
    <definedName name="L_Mazdoor_Semi" localSheetId="0">[15]Labour!$D$18</definedName>
    <definedName name="L_Mazdoor_Semi">[16]Labour!$D$18</definedName>
    <definedName name="M" localSheetId="0">'[17]P4 (2)'!$F$10:$G$109</definedName>
    <definedName name="M">'[18]P4 (2)'!$F$10:$G$109</definedName>
    <definedName name="M_Aggregate_GradeI_90_45mm" localSheetId="0">[15]Material!$D$23</definedName>
    <definedName name="M_Aggregate_GradeI_90_45mm">[16]Material!$D$23</definedName>
    <definedName name="M_Aggregate_GradeII_63_45mm" localSheetId="0">[15]Material!$D$24</definedName>
    <definedName name="M_Aggregate_GradeII_63_45mm">[16]Material!$D$24</definedName>
    <definedName name="M_BindingMaterial" localSheetId="0">[15]Material!$D$37</definedName>
    <definedName name="M_BindingMaterial">[16]Material!$D$37</definedName>
    <definedName name="M_Bitumen_CRM" localSheetId="0">[15]Material!$D$39</definedName>
    <definedName name="M_Bitumen_CRM">[16]Material!$D$39</definedName>
    <definedName name="M_Bitumen_NRM" localSheetId="0">[15]Material!$D$40</definedName>
    <definedName name="M_Bitumen_NRM">[16]Material!$D$40</definedName>
    <definedName name="M_Bitumen_PM" localSheetId="0">[15]Material!$D$41</definedName>
    <definedName name="M_Bitumen_PM">[16]Material!$D$41</definedName>
    <definedName name="M_Bitumen_S65" localSheetId="0">[15]Material!$D$42</definedName>
    <definedName name="M_Bitumen_S65">[16]Material!$D$42</definedName>
    <definedName name="M_Bitumen_S90" localSheetId="0">[15]Material!$D$43</definedName>
    <definedName name="M_Bitumen_S90">[16]Material!$D$43</definedName>
    <definedName name="M_BitumenEmulsion_RS1" localSheetId="0">[15]Material!$D$44</definedName>
    <definedName name="M_BitumenEmulsion_RS1">[16]Material!$D$44</definedName>
    <definedName name="M_BitumenEmulsion_SS1" localSheetId="0">[15]Material!$D$45</definedName>
    <definedName name="M_BitumenEmulsion_SS1">[16]Material!$D$45</definedName>
    <definedName name="M_Cement" localSheetId="0">[15]Material!$D$51</definedName>
    <definedName name="M_Cement">[16]Material!$D$51</definedName>
    <definedName name="M_HandBrokenMetal_40mm" localSheetId="0">[15]Material!$D$89</definedName>
    <definedName name="M_HandBrokenMetal_40mm">[16]Material!$D$89</definedName>
    <definedName name="M_MS_Sheet_15mm" localSheetId="0">[15]Material!$D$105</definedName>
    <definedName name="M_MS_Sheet_15mm">[16]Material!$D$105</definedName>
    <definedName name="M_MSFlat_StructuralSteel" localSheetId="0">[15]Material!$D$103</definedName>
    <definedName name="M_MSFlat_StructuralSteel">[16]Material!$D$103</definedName>
    <definedName name="M_MSSheetTube_47_47mm_12_SWG" localSheetId="0">[15]Material!$D$104</definedName>
    <definedName name="M_MSSheetTube_47_47mm_12_SWG">[16]Material!$D$104</definedName>
    <definedName name="M_RCCPipeNP3_1000mm" localSheetId="0">[15]Material!$D$114</definedName>
    <definedName name="M_RCCPipeNP3_1000mm">[16]Material!$D$114</definedName>
    <definedName name="M_RCCPipeNP3_1200mm" localSheetId="0">[15]Material!$D$113</definedName>
    <definedName name="M_RCCPipeNP3_1200mm">[16]Material!$D$113</definedName>
    <definedName name="M_RCCPipeNP3_750mm" localSheetId="0">[15]Material!$D$115</definedName>
    <definedName name="M_RCCPipeNP3_750mm">[16]Material!$D$115</definedName>
    <definedName name="M_Water" localSheetId="0">[15]Material!$D$146</definedName>
    <definedName name="M_Water">[16]Material!$D$146</definedName>
    <definedName name="M_WellGradedGranularBaseMaterial_GradeC_95_475mm" localSheetId="0">[15]Material!$D$153</definedName>
    <definedName name="M_WellGradedGranularBaseMaterial_GradeC_95_475mm">[16]Material!$D$153</definedName>
    <definedName name="n" hidden="1">{"'Sheet1'!$A$4386:$N$4591"}</definedName>
    <definedName name="name" localSheetId="0">#REF!</definedName>
    <definedName name="name">#REF!</definedName>
    <definedName name="No.offloors" localSheetId="0">#REF!</definedName>
    <definedName name="No.offloors">#REF!</definedName>
    <definedName name="PM_AirCompressor_210cfm" localSheetId="0">'[15]Plant &amp;  Machinery'!$G$4</definedName>
    <definedName name="PM_AirCompressor_210cfm">'[16]Plant &amp;  Machinery'!$G$4</definedName>
    <definedName name="PM_BatchTypeHMP_30_40" localSheetId="0">'[15]Plant &amp;  Machinery'!$G$6</definedName>
    <definedName name="PM_BatchTypeHMP_30_40">'[16]Plant &amp;  Machinery'!$G$6</definedName>
    <definedName name="PM_BitumenBoilerOilFired_1000" localSheetId="0">'[15]Plant &amp;  Machinery'!$G$9</definedName>
    <definedName name="PM_BitumenBoilerOilFired_1000">'[16]Plant &amp;  Machinery'!$G$9</definedName>
    <definedName name="PM_BitumenBoilerOilFired_200" localSheetId="0">'[15]Plant &amp;  Machinery'!$G$8</definedName>
    <definedName name="PM_BitumenBoilerOilFired_200">'[16]Plant &amp;  Machinery'!$G$8</definedName>
    <definedName name="PM_BitumenEmulsionPressureDistributor" localSheetId="0">'[15]Plant &amp;  Machinery'!$G$10</definedName>
    <definedName name="PM_BitumenEmulsionPressureDistributor">'[16]Plant &amp;  Machinery'!$G$10</definedName>
    <definedName name="PM_ConcreteMixer" localSheetId="0">'[15]Plant &amp;  Machinery'!$G$11</definedName>
    <definedName name="PM_ConcreteMixer">'[16]Plant &amp;  Machinery'!$G$11</definedName>
    <definedName name="PM_ElectricGeneratorSet_125" localSheetId="0">'[15]Plant &amp;  Machinery'!$G$15</definedName>
    <definedName name="PM_ElectricGeneratorSet_125">'[16]Plant &amp;  Machinery'!$G$15</definedName>
    <definedName name="PM_HydraulicBroom" localSheetId="0">'[15]Plant &amp;  Machinery'!$G$19</definedName>
    <definedName name="PM_HydraulicBroom">'[16]Plant &amp;  Machinery'!$G$19</definedName>
    <definedName name="PM_HydraulicSelfPropelledChipSpreader" localSheetId="0">'[15]Plant &amp;  Machinery'!$G$21</definedName>
    <definedName name="PM_HydraulicSelfPropelledChipSpreader">'[16]Plant &amp;  Machinery'!$G$21</definedName>
    <definedName name="PM_Mixall_6_10t" localSheetId="0">'[15]Plant &amp;  Machinery'!$G$24</definedName>
    <definedName name="PM_Mixall_6_10t">'[16]Plant &amp;  Machinery'!$G$24</definedName>
    <definedName name="PM_MotorGrader" localSheetId="0">'[15]Plant &amp;  Machinery'!$G$25</definedName>
    <definedName name="PM_MotorGrader">'[16]Plant &amp;  Machinery'!$G$25</definedName>
    <definedName name="PM_PaverFinisher" localSheetId="0">'[15]Plant &amp;  Machinery'!$G$28</definedName>
    <definedName name="PM_PaverFinisher">'[16]Plant &amp;  Machinery'!$G$28</definedName>
    <definedName name="PM_ThreeWheeled_80_100kN_StaticRoller" localSheetId="0">'[15]Plant &amp;  Machinery'!$G$34</definedName>
    <definedName name="PM_ThreeWheeled_80_100kN_StaticRoller">'[16]Plant &amp;  Machinery'!$G$34</definedName>
    <definedName name="PM_Tipper_55" localSheetId="0">'[15]Plant &amp;  Machinery'!$G$45</definedName>
    <definedName name="PM_Tipper_55">'[16]Plant &amp;  Machinery'!$G$45</definedName>
    <definedName name="PM_Tractor_Rotavator" localSheetId="0">'[15]Plant &amp;  Machinery'!$G$49</definedName>
    <definedName name="PM_Tractor_Rotavator">'[16]Plant &amp;  Machinery'!$G$49</definedName>
    <definedName name="PM_Tractor_Trolley" localSheetId="0">'[15]Plant &amp;  Machinery'!$G$48</definedName>
    <definedName name="PM_Tractor_Trolley">'[16]Plant &amp;  Machinery'!$G$48</definedName>
    <definedName name="PM_VibratoryRoller_80_100kN" localSheetId="0">'[15]Plant &amp;  Machinery'!$G$51</definedName>
    <definedName name="PM_VibratoryRoller_80_100kN">'[16]Plant &amp;  Machinery'!$G$51</definedName>
    <definedName name="PM_WaterTanker_6kl" localSheetId="0">'[15]Plant &amp;  Machinery'!$G$53</definedName>
    <definedName name="PM_WaterTanker_6kl">'[16]Plant &amp;  Machinery'!$G$53</definedName>
    <definedName name="_xlnm.Print_Area" localSheetId="5">'chapter 11'!$B$2:$G$224</definedName>
    <definedName name="_xlnm.Print_Area" localSheetId="1">EST!$A$1:$J$50</definedName>
    <definedName name="_xlnm.Print_Area" localSheetId="3">'LED TV'!$B$2:$G$224</definedName>
    <definedName name="_xlnm.Print_Area" localSheetId="2">'RA '!$A$1:$I$31</definedName>
    <definedName name="_xlnm.Print_Area" localSheetId="4">Sound!$B$2:$G$224</definedName>
    <definedName name="qty1.2" localSheetId="0">#REF!</definedName>
    <definedName name="qty1.2">#REF!</definedName>
    <definedName name="qty1.2.1" localSheetId="0">#REF!</definedName>
    <definedName name="qty1.2.1">#REF!</definedName>
    <definedName name="qty1.3" localSheetId="0">#REF!</definedName>
    <definedName name="qty1.3">#REF!</definedName>
    <definedName name="qty1.4" localSheetId="0">#REF!</definedName>
    <definedName name="qty1.4">#REF!</definedName>
    <definedName name="qty1.5" localSheetId="0">#REF!</definedName>
    <definedName name="qty1.5">#REF!</definedName>
    <definedName name="qty1.6" localSheetId="0">#REF!</definedName>
    <definedName name="qty1.6">#REF!</definedName>
    <definedName name="qty1.7" localSheetId="0">#REF!</definedName>
    <definedName name="qty1.7">#REF!</definedName>
    <definedName name="qty1.8" localSheetId="0">#REF!</definedName>
    <definedName name="qty1.8">#REF!</definedName>
    <definedName name="qty2.2b" localSheetId="0">'[7]Measurement-2'!#REF!</definedName>
    <definedName name="qty2.2b">'[8]Measurement-2'!#REF!</definedName>
    <definedName name="qty2.3" localSheetId="0">'[7]Measurement-2'!#REF!</definedName>
    <definedName name="qty2.3">'[8]Measurement-2'!#REF!</definedName>
    <definedName name="qty3.1" localSheetId="0">#REF!</definedName>
    <definedName name="qty3.1">#REF!</definedName>
    <definedName name="qty3.2" localSheetId="0">#REF!</definedName>
    <definedName name="qty3.2">#REF!</definedName>
    <definedName name="qty3.3" localSheetId="0">#REF!</definedName>
    <definedName name="qty3.3">#REF!</definedName>
    <definedName name="qty3.4" localSheetId="0">#REF!</definedName>
    <definedName name="qty3.4">#REF!</definedName>
    <definedName name="qty3.5" localSheetId="0">#REF!</definedName>
    <definedName name="qty3.5">#REF!</definedName>
    <definedName name="qty3.5.1" localSheetId="0">#REF!</definedName>
    <definedName name="qty3.5.1">#REF!</definedName>
    <definedName name="qty3.6" localSheetId="0">#REF!</definedName>
    <definedName name="qty3.6">#REF!</definedName>
    <definedName name="qty5.1" localSheetId="0">#REF!</definedName>
    <definedName name="qty5.1">#REF!</definedName>
    <definedName name="qty5.2" localSheetId="0">#REF!</definedName>
    <definedName name="qty5.2">#REF!</definedName>
    <definedName name="qty5.3" localSheetId="0">#REF!</definedName>
    <definedName name="qty5.3">#REF!</definedName>
    <definedName name="qty5.4" localSheetId="0">#REF!</definedName>
    <definedName name="qty5.4">#REF!</definedName>
    <definedName name="qty5.5" localSheetId="0">#REF!</definedName>
    <definedName name="qty5.5">#REF!</definedName>
    <definedName name="qty5.6" localSheetId="0">#REF!</definedName>
    <definedName name="qty5.6">#REF!</definedName>
    <definedName name="qty5.7" localSheetId="0">#REF!</definedName>
    <definedName name="qty5.7">#REF!</definedName>
    <definedName name="qty5.7a" localSheetId="0">#REF!</definedName>
    <definedName name="qty5.7a">#REF!</definedName>
    <definedName name="qty5.7b" localSheetId="0">#REF!</definedName>
    <definedName name="qty5.7b">#REF!</definedName>
    <definedName name="qty5.7c" localSheetId="0">#REF!</definedName>
    <definedName name="qty5.7c">#REF!</definedName>
    <definedName name="qty9.1" localSheetId="0">[13]Measurement!$L$156</definedName>
    <definedName name="qty9.1">[14]Measurement!$L$156</definedName>
    <definedName name="rachit">#REF!</definedName>
    <definedName name="rate1" localSheetId="0">'[11]Lead RA'!$N$14</definedName>
    <definedName name="rate1">'[12]Lead RA'!$N$14</definedName>
    <definedName name="rate1.2" localSheetId="0">[7]RA!#REF!</definedName>
    <definedName name="rate1.2">[8]RA!#REF!</definedName>
    <definedName name="rate1.4" localSheetId="0">[7]RA!#REF!</definedName>
    <definedName name="rate1.4">[8]RA!#REF!</definedName>
    <definedName name="rate1.4g" localSheetId="0">[7]RA!$I$112</definedName>
    <definedName name="rate1.4g">[8]RA!$I$112</definedName>
    <definedName name="rate1.5" localSheetId="0">[7]RA!#REF!</definedName>
    <definedName name="rate1.5">[8]RA!#REF!</definedName>
    <definedName name="rate1.6" localSheetId="0">[7]RA!#REF!</definedName>
    <definedName name="rate1.6">[8]RA!#REF!</definedName>
    <definedName name="rate1.7" localSheetId="0">[7]RA!#REF!</definedName>
    <definedName name="rate1.7">[8]RA!#REF!</definedName>
    <definedName name="rate1.8" localSheetId="0">[7]RA!#REF!</definedName>
    <definedName name="rate1.8">[8]RA!#REF!</definedName>
    <definedName name="rate2" localSheetId="0">'[11]Lead RA'!$N$15</definedName>
    <definedName name="rate2">'[12]Lead RA'!$N$15</definedName>
    <definedName name="rate2.1" localSheetId="0">[7]RA!#REF!</definedName>
    <definedName name="rate2.1">[8]RA!#REF!</definedName>
    <definedName name="rate2.2" localSheetId="0">[7]RA!#REF!</definedName>
    <definedName name="rate2.2">[8]RA!#REF!</definedName>
    <definedName name="rate2.2b" localSheetId="0">[7]RA!#REF!</definedName>
    <definedName name="rate2.2b">[8]RA!#REF!</definedName>
    <definedName name="rate2.3" localSheetId="0">[7]RA!#REF!</definedName>
    <definedName name="rate2.3">[8]RA!#REF!</definedName>
    <definedName name="rate3" localSheetId="0">'[11]Lead RA'!$N$16</definedName>
    <definedName name="rate3">'[12]Lead RA'!$N$16</definedName>
    <definedName name="rate3.1" localSheetId="0">[7]RA!#REF!</definedName>
    <definedName name="rate3.1">[8]RA!#REF!</definedName>
    <definedName name="rate3.2" localSheetId="0">[7]RA!#REF!</definedName>
    <definedName name="rate3.2">[8]RA!#REF!</definedName>
    <definedName name="rate3.3" localSheetId="0">[7]RA!#REF!</definedName>
    <definedName name="rate3.3">[8]RA!#REF!</definedName>
    <definedName name="rate3.4" localSheetId="0">[7]RA!#REF!</definedName>
    <definedName name="rate3.4">[8]RA!#REF!</definedName>
    <definedName name="rate3.5" localSheetId="0">[7]RA!#REF!</definedName>
    <definedName name="rate3.5">[8]RA!#REF!</definedName>
    <definedName name="rate3.7" localSheetId="0">#REF!</definedName>
    <definedName name="rate3.7">#REF!</definedName>
    <definedName name="rate4" localSheetId="0">'[11]Lead RA'!$N$17</definedName>
    <definedName name="rate4">'[12]Lead RA'!$N$17</definedName>
    <definedName name="rate5" localSheetId="0">'[11]Lead RA'!$N$18</definedName>
    <definedName name="rate5">'[12]Lead RA'!$N$18</definedName>
    <definedName name="rate6" localSheetId="0">'[11]Lead RA'!$N$19</definedName>
    <definedName name="rate6">'[12]Lead RA'!$N$19</definedName>
    <definedName name="rate7" localSheetId="0">'[11]Lead RA'!$N$20</definedName>
    <definedName name="rate7">'[12]Lead RA'!$N$20</definedName>
    <definedName name="rate8" localSheetId="0">'[11]Lead RA'!$N$21</definedName>
    <definedName name="rate8">'[12]Lead RA'!$N$21</definedName>
    <definedName name="rrr" localSheetId="0">#REF!</definedName>
    <definedName name="rrr">#REF!</definedName>
    <definedName name="t" localSheetId="0">#REF!</definedName>
    <definedName name="t">#REF!</definedName>
    <definedName name="TaxTV">10%</definedName>
    <definedName name="TaxXL">5%</definedName>
    <definedName name="total1" localSheetId="0">[19]Abstract.!$H$45</definedName>
    <definedName name="total1">[20]Abstract.!$H$45</definedName>
    <definedName name="tt" localSheetId="0">#REF!</definedName>
    <definedName name="tt">#REF!</definedName>
    <definedName name="two" localSheetId="0">[21]RADPR!$T$46</definedName>
    <definedName name="two">[22]RADPR!$T$46</definedName>
    <definedName name="Type" localSheetId="0">#REF!</definedName>
    <definedName name="Type">#REF!</definedName>
    <definedName name="type1" localSheetId="0">#REF!</definedName>
    <definedName name="type1">#REF!</definedName>
    <definedName name="type10" localSheetId="0">#REF!</definedName>
    <definedName name="type10">#REF!</definedName>
    <definedName name="type11" localSheetId="0">#REF!</definedName>
    <definedName name="type11">#REF!</definedName>
    <definedName name="type12" localSheetId="0">#REF!</definedName>
    <definedName name="type12">#REF!</definedName>
    <definedName name="type13" localSheetId="0">#REF!</definedName>
    <definedName name="type13">#REF!</definedName>
    <definedName name="type14" localSheetId="0">#REF!</definedName>
    <definedName name="type14">#REF!</definedName>
    <definedName name="type15" localSheetId="0">#REF!</definedName>
    <definedName name="type15">#REF!</definedName>
    <definedName name="type16" localSheetId="0">#REF!</definedName>
    <definedName name="type16">#REF!</definedName>
    <definedName name="type17" localSheetId="0">#REF!</definedName>
    <definedName name="type17">#REF!</definedName>
    <definedName name="type2" localSheetId="0">#REF!</definedName>
    <definedName name="type2">#REF!</definedName>
    <definedName name="type3" localSheetId="0">#REF!</definedName>
    <definedName name="type3">#REF!</definedName>
    <definedName name="type3.1" localSheetId="0">#REF!</definedName>
    <definedName name="type3.1">#REF!</definedName>
    <definedName name="type4" localSheetId="0">#REF!</definedName>
    <definedName name="type4">#REF!</definedName>
    <definedName name="type5" localSheetId="0">#REF!</definedName>
    <definedName name="type5">#REF!</definedName>
    <definedName name="type6" localSheetId="0">#REF!</definedName>
    <definedName name="type6">#REF!</definedName>
    <definedName name="type7" localSheetId="0">#REF!</definedName>
    <definedName name="type7">#REF!</definedName>
    <definedName name="type8" localSheetId="0">#REF!</definedName>
    <definedName name="type8">#REF!</definedName>
    <definedName name="type9" localSheetId="0">#REF!</definedName>
    <definedName name="type9">#REF!</definedName>
    <definedName name="typeg" localSheetId="0">#REF!</definedName>
    <definedName name="typeg">#REF!</definedName>
    <definedName name="wc"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6" l="1"/>
  <c r="J23" i="6"/>
  <c r="J26" i="6"/>
  <c r="J29" i="6"/>
  <c r="J32" i="6"/>
  <c r="J35" i="6"/>
  <c r="F8" i="15"/>
  <c r="F9" i="15"/>
  <c r="F10" i="15"/>
  <c r="F11" i="15"/>
  <c r="F24" i="15"/>
  <c r="F25" i="15"/>
  <c r="E6" i="15"/>
  <c r="F6" i="15" s="1"/>
  <c r="E7" i="15"/>
  <c r="F7" i="15" s="1"/>
  <c r="E8" i="15"/>
  <c r="E9" i="15"/>
  <c r="E10" i="15"/>
  <c r="E11" i="15"/>
  <c r="E12" i="15"/>
  <c r="F12" i="15" s="1"/>
  <c r="E13" i="15"/>
  <c r="F13" i="15" s="1"/>
  <c r="E14" i="15"/>
  <c r="F14" i="15" s="1"/>
  <c r="E15" i="15"/>
  <c r="F15" i="15" s="1"/>
  <c r="E16" i="15"/>
  <c r="F16" i="15" s="1"/>
  <c r="E17" i="15"/>
  <c r="F17" i="15" s="1"/>
  <c r="E18" i="15"/>
  <c r="F18" i="15" s="1"/>
  <c r="E19" i="15"/>
  <c r="F19" i="15" s="1"/>
  <c r="E20" i="15"/>
  <c r="F20" i="15" s="1"/>
  <c r="E21" i="15"/>
  <c r="F21" i="15" s="1"/>
  <c r="E22" i="15"/>
  <c r="F22" i="15" s="1"/>
  <c r="E23" i="15"/>
  <c r="F23" i="15" s="1"/>
  <c r="E24" i="15"/>
  <c r="E25" i="15"/>
  <c r="G20" i="15" l="1"/>
  <c r="H20" i="15" s="1"/>
  <c r="I27" i="6" s="1"/>
  <c r="J27" i="6" s="1"/>
  <c r="G7" i="15"/>
  <c r="H7" i="15" s="1"/>
  <c r="I10" i="6" s="1"/>
  <c r="J10" i="6" s="1"/>
  <c r="G22" i="15"/>
  <c r="H22" i="15" s="1"/>
  <c r="I30" i="6" s="1"/>
  <c r="J30" i="6" s="1"/>
  <c r="G21" i="15"/>
  <c r="H21" i="15" s="1"/>
  <c r="I28" i="6" s="1"/>
  <c r="J28" i="6" s="1"/>
  <c r="H11" i="15"/>
  <c r="I15" i="6" s="1"/>
  <c r="J15" i="6" s="1"/>
  <c r="G13" i="15"/>
  <c r="H13" i="15"/>
  <c r="I17" i="6" s="1"/>
  <c r="J17" i="6" s="1"/>
  <c r="G23" i="15"/>
  <c r="H23" i="15" s="1"/>
  <c r="I31" i="6" s="1"/>
  <c r="J31" i="6" s="1"/>
  <c r="G6" i="15"/>
  <c r="H6" i="15" s="1"/>
  <c r="I9" i="6" s="1"/>
  <c r="J9" i="6" s="1"/>
  <c r="H25" i="15"/>
  <c r="I34" i="6" s="1"/>
  <c r="J34" i="6" s="1"/>
  <c r="G19" i="15"/>
  <c r="H19" i="15"/>
  <c r="I25" i="6" s="1"/>
  <c r="J25" i="6" s="1"/>
  <c r="G18" i="15"/>
  <c r="H18" i="15"/>
  <c r="H10" i="15"/>
  <c r="I14" i="6" s="1"/>
  <c r="J14" i="6" s="1"/>
  <c r="G17" i="15"/>
  <c r="H17" i="15"/>
  <c r="I21" i="6" s="1"/>
  <c r="J21" i="6" s="1"/>
  <c r="H9" i="15"/>
  <c r="I12" i="6" s="1"/>
  <c r="J12" i="6" s="1"/>
  <c r="G16" i="15"/>
  <c r="H16" i="15"/>
  <c r="I20" i="6" s="1"/>
  <c r="J20" i="6" s="1"/>
  <c r="H8" i="15"/>
  <c r="I11" i="6" s="1"/>
  <c r="J11" i="6" s="1"/>
  <c r="G15" i="15"/>
  <c r="H15" i="15" s="1"/>
  <c r="I19" i="6" s="1"/>
  <c r="J19" i="6" s="1"/>
  <c r="G14" i="15"/>
  <c r="H14" i="15" s="1"/>
  <c r="I18" i="6" s="1"/>
  <c r="J18" i="6" s="1"/>
  <c r="G12" i="15"/>
  <c r="H12" i="15" s="1"/>
  <c r="I16" i="6" s="1"/>
  <c r="J16" i="6" s="1"/>
  <c r="G10" i="15"/>
  <c r="G25" i="15"/>
  <c r="G24" i="15"/>
  <c r="H24" i="15" s="1"/>
  <c r="I33" i="6" s="1"/>
  <c r="J33" i="6" s="1"/>
  <c r="G8" i="15"/>
  <c r="G11" i="15"/>
  <c r="G9" i="15"/>
  <c r="E5" i="15"/>
  <c r="F5" i="15" s="1"/>
  <c r="I22" i="6" l="1"/>
  <c r="J22" i="6" s="1"/>
  <c r="I24" i="6"/>
  <c r="J24" i="6" s="1"/>
  <c r="G5" i="15"/>
  <c r="H5" i="15" s="1"/>
  <c r="I8" i="6" s="1"/>
  <c r="J8" i="6" s="1"/>
  <c r="J37" i="6" s="1"/>
  <c r="J38" i="6" l="1"/>
  <c r="J39" i="6" s="1"/>
  <c r="H17" i="14" s="1"/>
  <c r="G224" i="5" l="1"/>
  <c r="G223" i="5"/>
  <c r="G222" i="5"/>
  <c r="G221" i="5"/>
  <c r="G220" i="5"/>
  <c r="G194" i="5"/>
  <c r="F194" i="5"/>
  <c r="G182" i="5"/>
  <c r="F167" i="5"/>
  <c r="G167" i="5" s="1"/>
  <c r="F166" i="5"/>
  <c r="G166" i="5" s="1"/>
  <c r="G151" i="5"/>
  <c r="G149" i="5"/>
  <c r="G147" i="5"/>
  <c r="G146" i="5"/>
  <c r="G145" i="5"/>
  <c r="F144" i="5"/>
  <c r="G143" i="5"/>
  <c r="G142" i="5"/>
  <c r="G141" i="5"/>
  <c r="G140" i="5"/>
  <c r="G139" i="5"/>
  <c r="G136" i="5"/>
  <c r="F132" i="5"/>
  <c r="G132" i="5" s="1"/>
  <c r="F131" i="5"/>
  <c r="G131" i="5" s="1"/>
  <c r="G130" i="5"/>
  <c r="G126" i="5"/>
  <c r="G125" i="5"/>
  <c r="G124" i="5"/>
  <c r="G123" i="5"/>
  <c r="G122" i="5"/>
  <c r="G121" i="5"/>
  <c r="G120" i="5"/>
  <c r="G119" i="5"/>
  <c r="G117" i="5"/>
  <c r="G116" i="5"/>
  <c r="G115" i="5"/>
  <c r="G114" i="5"/>
  <c r="G113" i="5"/>
  <c r="G112" i="5"/>
  <c r="G111" i="5"/>
  <c r="G110" i="5"/>
  <c r="G109" i="5"/>
  <c r="G107" i="5"/>
  <c r="G106" i="5"/>
  <c r="G105" i="5"/>
  <c r="G103" i="5"/>
  <c r="G102" i="5"/>
  <c r="G100" i="5"/>
  <c r="G99" i="5"/>
  <c r="G98" i="5"/>
  <c r="G97" i="5"/>
  <c r="G95" i="5"/>
  <c r="G94" i="5"/>
  <c r="G93" i="5"/>
  <c r="G92" i="5"/>
  <c r="G91" i="5"/>
  <c r="G90" i="5"/>
  <c r="G89" i="5"/>
  <c r="G87" i="5"/>
  <c r="G86" i="5"/>
  <c r="G85" i="5"/>
  <c r="G84" i="5"/>
  <c r="G83" i="5"/>
  <c r="G82" i="5"/>
  <c r="G81" i="5"/>
  <c r="G80" i="5"/>
  <c r="G79" i="5"/>
  <c r="G78" i="5"/>
  <c r="G75" i="5"/>
  <c r="G74" i="5"/>
  <c r="G73" i="5"/>
  <c r="G72" i="5"/>
  <c r="G71" i="5"/>
  <c r="G70" i="5"/>
  <c r="G69" i="5"/>
  <c r="G68" i="5"/>
  <c r="G67" i="5"/>
  <c r="G66" i="5"/>
  <c r="G65" i="5"/>
  <c r="G64" i="5"/>
  <c r="G63" i="5"/>
  <c r="G62" i="5"/>
  <c r="G61" i="5"/>
  <c r="G60" i="5"/>
  <c r="G59" i="5"/>
  <c r="G58" i="5"/>
  <c r="G57" i="5"/>
  <c r="G56" i="5"/>
  <c r="G55" i="5"/>
  <c r="F51" i="5"/>
  <c r="F50" i="5"/>
  <c r="F49" i="5"/>
  <c r="G49" i="5" s="1"/>
  <c r="G43" i="5"/>
  <c r="F41" i="5"/>
  <c r="G41" i="5" s="1"/>
  <c r="F40" i="5"/>
  <c r="G40" i="5" s="1"/>
  <c r="G27" i="5"/>
  <c r="G26" i="5"/>
  <c r="G25" i="5"/>
  <c r="G24" i="5"/>
  <c r="G23" i="5"/>
  <c r="G22" i="5"/>
  <c r="G21" i="5"/>
  <c r="G20" i="5"/>
  <c r="G19" i="5"/>
  <c r="G18" i="5"/>
  <c r="G17" i="5"/>
  <c r="G224" i="4"/>
  <c r="G223" i="4"/>
  <c r="G222" i="4"/>
  <c r="G221" i="4"/>
  <c r="G220" i="4"/>
  <c r="F194" i="4"/>
  <c r="G194" i="4" s="1"/>
  <c r="G182" i="4"/>
  <c r="F167" i="4"/>
  <c r="G167" i="4" s="1"/>
  <c r="F166" i="4"/>
  <c r="G166" i="4" s="1"/>
  <c r="G151" i="4"/>
  <c r="G149" i="4"/>
  <c r="G147" i="4"/>
  <c r="G146" i="4"/>
  <c r="G145" i="4"/>
  <c r="F144" i="4"/>
  <c r="G143" i="4"/>
  <c r="G142" i="4"/>
  <c r="G141" i="4"/>
  <c r="G140" i="4"/>
  <c r="G139" i="4"/>
  <c r="G136" i="4"/>
  <c r="F132" i="4"/>
  <c r="G132" i="4" s="1"/>
  <c r="F131" i="4"/>
  <c r="G131" i="4" s="1"/>
  <c r="G130" i="4"/>
  <c r="G126" i="4"/>
  <c r="G125" i="4"/>
  <c r="G124" i="4"/>
  <c r="G123" i="4"/>
  <c r="G122" i="4"/>
  <c r="G121" i="4"/>
  <c r="G120" i="4"/>
  <c r="G119" i="4"/>
  <c r="G117" i="4"/>
  <c r="G116" i="4"/>
  <c r="G115" i="4"/>
  <c r="G114" i="4"/>
  <c r="G113" i="4"/>
  <c r="G112" i="4"/>
  <c r="G111" i="4"/>
  <c r="G110" i="4"/>
  <c r="G109" i="4"/>
  <c r="G107" i="4"/>
  <c r="G106" i="4"/>
  <c r="G105" i="4"/>
  <c r="G103" i="4"/>
  <c r="G102" i="4"/>
  <c r="G100" i="4"/>
  <c r="G99" i="4"/>
  <c r="G98" i="4"/>
  <c r="G97" i="4"/>
  <c r="G95" i="4"/>
  <c r="G94" i="4"/>
  <c r="G93" i="4"/>
  <c r="G92" i="4"/>
  <c r="G91" i="4"/>
  <c r="G90" i="4"/>
  <c r="G89" i="4"/>
  <c r="G87" i="4"/>
  <c r="G86" i="4"/>
  <c r="G85" i="4"/>
  <c r="G84" i="4"/>
  <c r="G83" i="4"/>
  <c r="G82" i="4"/>
  <c r="G81" i="4"/>
  <c r="G80" i="4"/>
  <c r="G79" i="4"/>
  <c r="G78" i="4"/>
  <c r="G75" i="4"/>
  <c r="G74" i="4"/>
  <c r="G73" i="4"/>
  <c r="G72" i="4"/>
  <c r="G71" i="4"/>
  <c r="G70" i="4"/>
  <c r="G69" i="4"/>
  <c r="G68" i="4"/>
  <c r="G67" i="4"/>
  <c r="G66" i="4"/>
  <c r="G65" i="4"/>
  <c r="G64" i="4"/>
  <c r="G63" i="4"/>
  <c r="G62" i="4"/>
  <c r="G61" i="4"/>
  <c r="G60" i="4"/>
  <c r="G59" i="4"/>
  <c r="G58" i="4"/>
  <c r="G57" i="4"/>
  <c r="G56" i="4"/>
  <c r="G55" i="4"/>
  <c r="F51" i="4"/>
  <c r="F50" i="4"/>
  <c r="F49" i="4"/>
  <c r="G49" i="4" s="1"/>
  <c r="G43" i="4"/>
  <c r="F41" i="4"/>
  <c r="G41" i="4" s="1"/>
  <c r="F40" i="4"/>
  <c r="G40" i="4" s="1"/>
  <c r="G27" i="4"/>
  <c r="G26" i="4"/>
  <c r="G25" i="4"/>
  <c r="G24" i="4"/>
  <c r="G23" i="4"/>
  <c r="G22" i="4"/>
  <c r="G21" i="4"/>
  <c r="G20" i="4"/>
  <c r="G19" i="4"/>
  <c r="G18" i="4"/>
  <c r="G17" i="4"/>
  <c r="G224" i="2"/>
  <c r="G223" i="2"/>
  <c r="G222" i="2"/>
  <c r="G221" i="2"/>
  <c r="G220" i="2"/>
  <c r="F194" i="2"/>
  <c r="G194" i="2" s="1"/>
  <c r="G182" i="2"/>
  <c r="F167" i="2"/>
  <c r="G167" i="2" s="1"/>
  <c r="F166" i="2"/>
  <c r="G166" i="2" s="1"/>
  <c r="G151" i="2"/>
  <c r="G149" i="2"/>
  <c r="G147" i="2"/>
  <c r="G146" i="2"/>
  <c r="G145" i="2"/>
  <c r="F144" i="2"/>
  <c r="G143" i="2"/>
  <c r="G142" i="2"/>
  <c r="G141" i="2"/>
  <c r="G140" i="2"/>
  <c r="G139" i="2"/>
  <c r="G136" i="2"/>
  <c r="F132" i="2"/>
  <c r="G132" i="2" s="1"/>
  <c r="F131" i="2"/>
  <c r="G131" i="2" s="1"/>
  <c r="G130" i="2"/>
  <c r="G126" i="2"/>
  <c r="G125" i="2"/>
  <c r="G124" i="2"/>
  <c r="G123" i="2"/>
  <c r="G122" i="2"/>
  <c r="G121" i="2"/>
  <c r="G120" i="2"/>
  <c r="G119" i="2"/>
  <c r="G117" i="2"/>
  <c r="G116" i="2"/>
  <c r="G115" i="2"/>
  <c r="G114" i="2"/>
  <c r="G113" i="2"/>
  <c r="G112" i="2"/>
  <c r="G111" i="2"/>
  <c r="G110" i="2"/>
  <c r="G109" i="2"/>
  <c r="G107" i="2"/>
  <c r="G106" i="2"/>
  <c r="G105" i="2"/>
  <c r="G103" i="2"/>
  <c r="G102" i="2"/>
  <c r="G100" i="2"/>
  <c r="G99" i="2"/>
  <c r="G98" i="2"/>
  <c r="G97" i="2"/>
  <c r="G95" i="2"/>
  <c r="G94" i="2"/>
  <c r="G93" i="2"/>
  <c r="G92" i="2"/>
  <c r="G91" i="2"/>
  <c r="G90" i="2"/>
  <c r="G89" i="2"/>
  <c r="G87" i="2"/>
  <c r="G86" i="2"/>
  <c r="G85" i="2"/>
  <c r="G84" i="2"/>
  <c r="G83" i="2"/>
  <c r="G82" i="2"/>
  <c r="G81" i="2"/>
  <c r="G80" i="2"/>
  <c r="G79" i="2"/>
  <c r="G78" i="2"/>
  <c r="G75" i="2"/>
  <c r="G74" i="2"/>
  <c r="G73" i="2"/>
  <c r="G72" i="2"/>
  <c r="G71" i="2"/>
  <c r="G70" i="2"/>
  <c r="G69" i="2"/>
  <c r="G68" i="2"/>
  <c r="G67" i="2"/>
  <c r="G66" i="2"/>
  <c r="G65" i="2"/>
  <c r="G64" i="2"/>
  <c r="G63" i="2"/>
  <c r="G62" i="2"/>
  <c r="G61" i="2"/>
  <c r="G60" i="2"/>
  <c r="G59" i="2"/>
  <c r="G58" i="2"/>
  <c r="G57" i="2"/>
  <c r="G56" i="2"/>
  <c r="G55" i="2"/>
  <c r="F51" i="2"/>
  <c r="F50" i="2"/>
  <c r="G49" i="2"/>
  <c r="F49" i="2"/>
  <c r="G43" i="2"/>
  <c r="F41" i="2"/>
  <c r="G41" i="2" s="1"/>
  <c r="F40" i="2"/>
  <c r="G40" i="2" s="1"/>
  <c r="G27" i="2"/>
  <c r="G26" i="2"/>
  <c r="G25" i="2"/>
  <c r="G24" i="2"/>
  <c r="G23" i="2"/>
  <c r="G22" i="2"/>
  <c r="G21" i="2"/>
  <c r="G20" i="2"/>
  <c r="G19" i="2"/>
  <c r="G18" i="2"/>
  <c r="G17" i="2"/>
</calcChain>
</file>

<file path=xl/sharedStrings.xml><?xml version="1.0" encoding="utf-8"?>
<sst xmlns="http://schemas.openxmlformats.org/spreadsheetml/2006/main" count="1688" uniqueCount="485">
  <si>
    <r>
      <t xml:space="preserve">CHAPTER-XI    </t>
    </r>
    <r>
      <rPr>
        <b/>
        <sz val="14"/>
        <color indexed="8"/>
        <rFont val="Times New Roman"/>
        <family val="1"/>
      </rPr>
      <t xml:space="preserve"> TEMPORARY ILLUMINATION,A/C,PUBLIC ADDRESS AUDIO/ VIDEO &amp; STANDBY POWER SYSTEM</t>
    </r>
  </si>
  <si>
    <t xml:space="preserve">
(Rates included GST/Service Tax) </t>
  </si>
  <si>
    <t>NOTES</t>
  </si>
  <si>
    <t>The rates for temporary D.G,sound ,E.I. ,A.C. , LED, TV, Multi media are applicable for 1st day including preparatory  &amp; testing period &amp; no additional amount shall be paid for that but for rehearsal if ask by authority, additional amount shall be paid 25% of first day rental  charges.</t>
  </si>
  <si>
    <t>(i) For the second day of function , 40% of first day rent shall be considered. (ii) For each additional day after Second day of function but not exceeding 15 days, 15% of first day rental cost will be considered.</t>
  </si>
  <si>
    <t xml:space="preserve">After 15 days 5% of 1st day rental cost will be limited do 80% of full rate of newly purchased equipments .For more than above days,it is necessary to have consent letter of administrative authority.  </t>
  </si>
  <si>
    <t>Testing of all temporary arrangement will be positively   given before 12 hours start of function or rehearsal (if  ask by concerned Authority) .</t>
  </si>
  <si>
    <t>For D.G. set, rental rates are applicable for first day. (1)For next subsequently 7 days ,90% of first day rental charges will be applied (2)from  8th day ,80% of the 1st day rental charges shall be applied  and no additional amount will be paid for preparation &amp; testing periods except rehearsal if required.</t>
  </si>
  <si>
    <t xml:space="preserve"> The above rates are  for the function with on load working of DG set up to 5 hours per day and if the DG set is to be used continuously on load mote 5 hours per day then for each 5 KVA of DG  set add Rs 60.00  per hour operation to be paid extra.</t>
  </si>
  <si>
    <t>Necessary certificate from electrical inspector will be taken by concern Agency before 4 hours starting from function / rehearsal positively .</t>
  </si>
  <si>
    <t>The rate for DG Set  included transportation charges for up to 30 kms  from Concern Division H.Q. to function place and back. Add   Rs . 500/-  for additional   30 kms. Block.</t>
  </si>
  <si>
    <t>The items which are not included in SOR the higher charges should be derived as 10% of total cost of item for 1 st day.</t>
  </si>
  <si>
    <t>All switchgears,cables,wires, fittings &amp; Lamps with accessories  etc  must  be ISI MARKED Positively.</t>
  </si>
  <si>
    <t xml:space="preserve">Rates is inclusive of material, labour, supervision, liaison, transportation  -overheads and All taxes including GSTexcept 1% labour cess. </t>
  </si>
  <si>
    <t>11-1-1</t>
  </si>
  <si>
    <r>
      <t xml:space="preserve">Hire charges for providing erecting temp </t>
    </r>
    <r>
      <rPr>
        <b/>
        <sz val="12"/>
        <color indexed="8"/>
        <rFont val="Times New Roman"/>
        <family val="1"/>
      </rPr>
      <t xml:space="preserve">LED light 10 mm bulbs approved </t>
    </r>
    <r>
      <rPr>
        <sz val="12"/>
        <color indexed="8"/>
        <rFont val="Times New Roman"/>
        <family val="1"/>
      </rPr>
      <t>high glow with complete wiring with auto changer reverse and after good use dismantling.</t>
    </r>
  </si>
  <si>
    <t>(A) Strip Light. (Minimum 38 Lamps /  Mtr.)</t>
  </si>
  <si>
    <t>1st Day /RMT</t>
  </si>
  <si>
    <t>(B) Series Light. (Minimum 5 Lamps / Mtr.)</t>
  </si>
  <si>
    <t>(C) Rope Light. (Minimum 15 Lamps. / Mtr.)</t>
  </si>
  <si>
    <t>(D) Decorative LED design light on board</t>
  </si>
  <si>
    <t>1st Day /lamp</t>
  </si>
  <si>
    <t>(E) Decorative LED palm piece</t>
  </si>
  <si>
    <t>1st Day /piece</t>
  </si>
  <si>
    <t>11-1-2</t>
  </si>
  <si>
    <r>
      <t xml:space="preserve">Hire charges for providing erecting  and dismantling temporary illumination, consisting of </t>
    </r>
    <r>
      <rPr>
        <b/>
        <sz val="12"/>
        <color indexed="8"/>
        <rFont val="Times New Roman"/>
        <family val="1"/>
      </rPr>
      <t xml:space="preserve">strip lights complete with holders, bulbs up to 40Watt lamp </t>
    </r>
    <r>
      <rPr>
        <sz val="12"/>
        <color indexed="8"/>
        <rFont val="Times New Roman"/>
        <family val="1"/>
      </rPr>
      <t xml:space="preserve">of different colours complete with necessary lead wires erected and dismantled. </t>
    </r>
  </si>
  <si>
    <t>1st Day / No</t>
  </si>
  <si>
    <t>11-1-3-a</t>
  </si>
  <si>
    <r>
      <t xml:space="preserve">Hire charges for providing erecting and dismantling temporary illumination consisting of the </t>
    </r>
    <r>
      <rPr>
        <b/>
        <sz val="12"/>
        <color indexed="8"/>
        <rFont val="Times New Roman"/>
        <family val="1"/>
      </rPr>
      <t xml:space="preserve">LED tube lights 22 watt minimum </t>
    </r>
    <r>
      <rPr>
        <sz val="12"/>
        <color indexed="8"/>
        <rFont val="Times New Roman"/>
        <family val="1"/>
      </rPr>
      <t xml:space="preserve">complete withlead wires </t>
    </r>
  </si>
  <si>
    <t>11-1-3-b</t>
  </si>
  <si>
    <r>
      <t xml:space="preserve">For use of </t>
    </r>
    <r>
      <rPr>
        <b/>
        <sz val="12"/>
        <color indexed="8"/>
        <rFont val="Times New Roman"/>
        <family val="1"/>
      </rPr>
      <t>decorative tube</t>
    </r>
    <r>
      <rPr>
        <sz val="12"/>
        <color indexed="8"/>
        <rFont val="Times New Roman"/>
        <family val="1"/>
      </rPr>
      <t xml:space="preserve"> in place of simple tube</t>
    </r>
  </si>
  <si>
    <t>1st Day</t>
  </si>
  <si>
    <t>11-1-4</t>
  </si>
  <si>
    <r>
      <t>Hire charges for providing erecting and dismantling temporary illumination consisting of</t>
    </r>
    <r>
      <rPr>
        <b/>
        <sz val="12"/>
        <color indexed="8"/>
        <rFont val="Times New Roman"/>
        <family val="1"/>
      </rPr>
      <t xml:space="preserve"> flood light fitting up to 100 Watt </t>
    </r>
    <r>
      <rPr>
        <sz val="12"/>
        <color indexed="8"/>
        <rFont val="Times New Roman"/>
        <family val="1"/>
      </rPr>
      <t xml:space="preserve">complete with holders lead wires, </t>
    </r>
    <r>
      <rPr>
        <b/>
        <sz val="12"/>
        <color indexed="8"/>
        <rFont val="Times New Roman"/>
        <family val="1"/>
      </rPr>
      <t>incandescent lamp</t>
    </r>
    <r>
      <rPr>
        <sz val="12"/>
        <color indexed="8"/>
        <rFont val="Times New Roman"/>
        <family val="1"/>
      </rPr>
      <t xml:space="preserve"> with different colours with indoor / outdoor type </t>
    </r>
  </si>
  <si>
    <t>1st Day /Nos</t>
  </si>
  <si>
    <t>11-1-5</t>
  </si>
  <si>
    <r>
      <t xml:space="preserve">Hire charges for providing erecting and dismantling temporary illumination consisting of </t>
    </r>
    <r>
      <rPr>
        <b/>
        <sz val="12"/>
        <color indexed="8"/>
        <rFont val="Times New Roman"/>
        <family val="1"/>
      </rPr>
      <t xml:space="preserve">halogen fitting 500  Watt / 85 watt retrofit CFL lamp/60watt LED lamp </t>
    </r>
    <r>
      <rPr>
        <sz val="12"/>
        <color indexed="8"/>
        <rFont val="Times New Roman"/>
        <family val="1"/>
      </rPr>
      <t xml:space="preserve">with suitable size Al. reflector complete with holders tube and lead wires.
(outdoor Type) </t>
    </r>
  </si>
  <si>
    <t>11-1-6-b</t>
  </si>
  <si>
    <t xml:space="preserve">Hire charges for providing erecting and dismantling temporary illumination consisting of halogen fitting 1000 Watt complete with holders tube and lead wires.
(Outdoor Type) </t>
  </si>
  <si>
    <t>11-1-7</t>
  </si>
  <si>
    <t>Hire Charges for  heavy duty flood light luminaire comprises die cast aluminium body with  heat resistant  toughened front glass, silicon rubber gasket, electromechanically brightened anodised aluminium reflector ,  hot deep galvanized M.S. cradle clamp with suitable size of necessary control gear box having choke, capacitor, holder, lamp  etc. complete.</t>
  </si>
  <si>
    <t xml:space="preserve">(A) Suitable for One No. 70 watt HPSV / Metal helide lamp   </t>
  </si>
  <si>
    <t>1 St.Day./no</t>
  </si>
  <si>
    <t xml:space="preserve">(B)Suitable for One No. 150 watt HPSV / Metal helide lamp   </t>
  </si>
  <si>
    <t xml:space="preserve">(C)Suitable for One No. 250 watt HPSV / Metal helide lamp   </t>
  </si>
  <si>
    <t xml:space="preserve">(D)Suitable for One No. 400 watt HPSV / Metal helide lamp   </t>
  </si>
  <si>
    <t>11-1-8</t>
  </si>
  <si>
    <r>
      <t xml:space="preserve">Hire charges for providing erecting and dismantling after use of good running condition for the </t>
    </r>
    <r>
      <rPr>
        <b/>
        <sz val="12"/>
        <color indexed="8"/>
        <rFont val="Times New Roman"/>
        <family val="1"/>
      </rPr>
      <t xml:space="preserve">HPSV street light </t>
    </r>
    <r>
      <rPr>
        <sz val="12"/>
        <color indexed="8"/>
        <rFont val="Times New Roman"/>
        <family val="1"/>
      </rPr>
      <t xml:space="preserve">fitting with necessary accessories and lamps with fixing arrangement as per direction of engineer incharge </t>
    </r>
  </si>
  <si>
    <t>(a) suitable for 70 watt</t>
  </si>
  <si>
    <t>(b) suitable for 150 watt</t>
  </si>
  <si>
    <t>(b) suitable for 250 watt</t>
  </si>
  <si>
    <t>(b) suitable for 400 watt</t>
  </si>
  <si>
    <t>11-1-9</t>
  </si>
  <si>
    <r>
      <t xml:space="preserve">Providing and fixing </t>
    </r>
    <r>
      <rPr>
        <b/>
        <sz val="12"/>
        <color indexed="8"/>
        <rFont val="Times New Roman"/>
        <family val="1"/>
      </rPr>
      <t xml:space="preserve">chaser </t>
    </r>
    <r>
      <rPr>
        <sz val="12"/>
        <color indexed="8"/>
        <rFont val="Times New Roman"/>
        <family val="1"/>
      </rPr>
      <t>to give running erected to strip light and min up to load of 5 KW</t>
    </r>
  </si>
  <si>
    <t>11-1-10</t>
  </si>
  <si>
    <r>
      <t xml:space="preserve">Hire charges for providing, erecting and dismantling  after use in good running condition for temp. arrangement of </t>
    </r>
    <r>
      <rPr>
        <b/>
        <sz val="12"/>
        <color indexed="8"/>
        <rFont val="Times New Roman"/>
        <family val="1"/>
      </rPr>
      <t>city colour HMI light</t>
    </r>
    <r>
      <rPr>
        <sz val="12"/>
        <color indexed="8"/>
        <rFont val="Times New Roman"/>
        <family val="1"/>
      </rPr>
      <t xml:space="preserve"> with necessary KW capacity Lamps with its control panel and wiring and operating complete.</t>
    </r>
  </si>
  <si>
    <t>(a)  2 / 2.50 Kw.</t>
  </si>
  <si>
    <t>(a)  4.0  Kw.</t>
  </si>
  <si>
    <t>11-1-11</t>
  </si>
  <si>
    <r>
      <t xml:space="preserve">Hire charges for providing, erecting as per direction of Engineer in charge  and dismantling after use in good running condition with providing temp illumination by </t>
    </r>
    <r>
      <rPr>
        <b/>
        <sz val="12"/>
        <color indexed="8"/>
        <rFont val="Times New Roman"/>
        <family val="1"/>
      </rPr>
      <t>CYBER / SCANNER lights of 1200 watt rotating mechanism</t>
    </r>
    <r>
      <rPr>
        <sz val="12"/>
        <color indexed="8"/>
        <rFont val="Times New Roman"/>
        <family val="1"/>
      </rPr>
      <t xml:space="preserve"> controlled by microprocessor base pre programmed controllers with suitable data control. and power cables and connections. </t>
    </r>
  </si>
  <si>
    <t>11-1-12</t>
  </si>
  <si>
    <r>
      <t xml:space="preserve">Hire charges for providing, erecting &amp; dismantling </t>
    </r>
    <r>
      <rPr>
        <b/>
        <sz val="12"/>
        <rFont val="Times New Roman"/>
        <family val="1"/>
      </rPr>
      <t xml:space="preserve">Sharpy Moving Head light  200-440 w 20R(Beam,Spot,Wash)3-in-1 hybrid </t>
    </r>
    <r>
      <rPr>
        <sz val="12"/>
        <rFont val="Times New Roman"/>
        <family val="1"/>
      </rPr>
      <t>with necessary wiring &amp; controller as required and as per instruction of engineer-incharge</t>
    </r>
  </si>
  <si>
    <t>11-1-13</t>
  </si>
  <si>
    <r>
      <t>Hire charges for providing &amp; dismantling temp.</t>
    </r>
    <r>
      <rPr>
        <b/>
        <sz val="12"/>
        <rFont val="Times New Roman"/>
        <family val="1"/>
      </rPr>
      <t xml:space="preserve"> three light consisting Neon / LED Light with electronically controlled effects(Par light) </t>
    </r>
    <r>
      <rPr>
        <sz val="12"/>
        <rFont val="Times New Roman"/>
        <family val="1"/>
      </rPr>
      <t>complete erected with necessary supports with connection &amp; necessary controller .</t>
    </r>
  </si>
  <si>
    <t>11-1-13-A</t>
  </si>
  <si>
    <t>(a) 50 to 150 Watt</t>
  </si>
  <si>
    <t xml:space="preserve">1st. Day Per No.    </t>
  </si>
  <si>
    <t>11-1-13-B</t>
  </si>
  <si>
    <t>(b) above 150 Watt</t>
  </si>
  <si>
    <t>11-1-14-A</t>
  </si>
  <si>
    <r>
      <t xml:space="preserve">Hire charges for providing erecting and dismantling after use of good running condition </t>
    </r>
    <r>
      <rPr>
        <b/>
        <sz val="12"/>
        <rFont val="Times New Roman"/>
        <family val="1"/>
      </rPr>
      <t xml:space="preserve">1200 mm / 1400 mm size ceiling fan with down rod and clamp </t>
    </r>
    <r>
      <rPr>
        <sz val="12"/>
        <rFont val="Times New Roman"/>
        <family val="1"/>
      </rPr>
      <t xml:space="preserve">complete </t>
    </r>
  </si>
  <si>
    <t>Add.10% more for erection in dome</t>
  </si>
  <si>
    <t>'11-1-14-B</t>
  </si>
  <si>
    <r>
      <t xml:space="preserve">Higher charges for providing erecting and Removing after use of good running condition </t>
    </r>
    <r>
      <rPr>
        <b/>
        <sz val="12"/>
        <rFont val="Times New Roman"/>
        <family val="1"/>
      </rPr>
      <t xml:space="preserve">300 mm/ 400 mm size low noise oscillation type pedestal fan </t>
    </r>
    <r>
      <rPr>
        <sz val="12"/>
        <rFont val="Times New Roman"/>
        <family val="1"/>
      </rPr>
      <t>of good condition.</t>
    </r>
  </si>
  <si>
    <t>'11-1-14-C</t>
  </si>
  <si>
    <r>
      <t xml:space="preserve">Hire charges for providing, &amp; erecting and dismantling after use of good running condition </t>
    </r>
    <r>
      <rPr>
        <b/>
        <sz val="12"/>
        <rFont val="Times New Roman"/>
        <family val="1"/>
      </rPr>
      <t>600mm/900mm heavy duty air-circulator pedestal type fan</t>
    </r>
    <r>
      <rPr>
        <sz val="12"/>
        <rFont val="Times New Roman"/>
        <family val="1"/>
      </rPr>
      <t xml:space="preserve"> of good running condition.</t>
    </r>
  </si>
  <si>
    <t>'11-1-14-D</t>
  </si>
  <si>
    <r>
      <t xml:space="preserve">Hire charges for providing erecting and dismantling after use of good running condition </t>
    </r>
    <r>
      <rPr>
        <b/>
        <sz val="12"/>
        <rFont val="Times New Roman"/>
        <family val="1"/>
      </rPr>
      <t>Desert Cooler</t>
    </r>
    <r>
      <rPr>
        <sz val="12"/>
        <rFont val="Times New Roman"/>
        <family val="1"/>
      </rPr>
      <t xml:space="preserve"> complete with necessary water filling arrangements with stand &amp; 3 core wire with top etc..</t>
    </r>
  </si>
  <si>
    <t>11-1-15</t>
  </si>
  <si>
    <r>
      <t xml:space="preserve">Hire charges for providing for temporary plug point with </t>
    </r>
    <r>
      <rPr>
        <b/>
        <sz val="12"/>
        <color indexed="8"/>
        <rFont val="Times New Roman"/>
        <family val="1"/>
      </rPr>
      <t xml:space="preserve">5/15Amp plug switch combined, </t>
    </r>
    <r>
      <rPr>
        <sz val="12"/>
        <color indexed="8"/>
        <rFont val="Times New Roman"/>
        <family val="1"/>
      </rPr>
      <t xml:space="preserve">erected in wooden board complete </t>
    </r>
  </si>
  <si>
    <t>11-1-16</t>
  </si>
  <si>
    <t xml:space="preserve">Hire charges for providing erecting and dismantling after use in good running condition with necessary interconnecting wire/cable on panel board. </t>
  </si>
  <si>
    <t>(a) D.P. Switch 16A/32A, 230V</t>
  </si>
  <si>
    <t>(b) T.P. Switch with neutral 16A/32A 440V</t>
  </si>
  <si>
    <t>(C ) T.P. Switch with neutral 63A/200A 440V</t>
  </si>
  <si>
    <t>(d) TPN Switch 200A/250A, 400V</t>
  </si>
  <si>
    <t>(e) BUSBAR
       (i) 63 Amp to 100 Amp. Up to 1 Mtr.</t>
  </si>
  <si>
    <t>(e) BUSBAR
       (i) 63 Amp to 100 Amp. Above 1 Mtr.</t>
  </si>
  <si>
    <t>(e) BUSBAR
       (ii) 200 Amp. Up to 1 Mtr.</t>
  </si>
  <si>
    <t>(e) BUSBAR
       (ii) 200 Amp. Above 1 Mtr.</t>
  </si>
  <si>
    <t>(f) Change Over Switches 4 Pole 440 V
       (i) 16 A - 32 A</t>
  </si>
  <si>
    <t>(f) Change Over Switches 4 Pole 440 V
       (ii) 63 A</t>
  </si>
  <si>
    <t>(f) Change Over Switches 4 Pole 440 V
       (iii) 100A - 125A</t>
  </si>
  <si>
    <t>(f) Change Over Switches 4 Pole 440 V
       (iv) 200A - 300A</t>
  </si>
  <si>
    <t>(g) Change Over Switches 4 Pole 440 V
       (v) 400 A</t>
  </si>
  <si>
    <t>(h) Change Over Switches 4 Pole 440 V
       (vi) 630A</t>
  </si>
  <si>
    <t>(I) Change Over Switches 4 Pole 440 V
       (vii) 800A</t>
  </si>
  <si>
    <t>(j) Distribution Boards 3 phase 440V 6A/32A
       (i) 4 - 6 Way</t>
  </si>
  <si>
    <t>(k) Distribution Boards 3 phase 440V 6A/32A
       (ii) 8-12 Way</t>
  </si>
  <si>
    <t xml:space="preserve">(l) MCB Distribution boards Three phase 230V,
        (i) 4 -6 -8 Way </t>
  </si>
  <si>
    <t>11-1-17-b</t>
  </si>
  <si>
    <r>
      <t xml:space="preserve">Hire charges for providing erecting and dismantling after use in good running condition.
</t>
    </r>
    <r>
      <rPr>
        <b/>
        <sz val="12"/>
        <color indexed="8"/>
        <rFont val="Times New Roman"/>
        <family val="1"/>
      </rPr>
      <t xml:space="preserve">Section pillar </t>
    </r>
    <r>
      <rPr>
        <sz val="12"/>
        <color indexed="8"/>
        <rFont val="Times New Roman"/>
        <family val="1"/>
      </rPr>
      <t xml:space="preserve">fabricated from 16 SWG thick M.S. Sheet with 40 x 40 x 6 mm thick angle iron legs with 12 mm thick bakelite / wooden sheet erected complete with following sizes 
(b) </t>
    </r>
    <r>
      <rPr>
        <b/>
        <sz val="12"/>
        <color indexed="8"/>
        <rFont val="Times New Roman"/>
        <family val="1"/>
      </rPr>
      <t>Section pillar having size 75 x 60 x 45</t>
    </r>
  </si>
  <si>
    <t>11-1-17-c</t>
  </si>
  <si>
    <r>
      <t xml:space="preserve">Hire charges for providing erecting and dismantling after use in good running condition.
</t>
    </r>
    <r>
      <rPr>
        <b/>
        <sz val="12"/>
        <color indexed="8"/>
        <rFont val="Times New Roman"/>
        <family val="1"/>
      </rPr>
      <t xml:space="preserve">Section pillar </t>
    </r>
    <r>
      <rPr>
        <sz val="12"/>
        <color indexed="8"/>
        <rFont val="Times New Roman"/>
        <family val="1"/>
      </rPr>
      <t xml:space="preserve">fabricated from 16 SWG thick M.S. Sheet with      40 x 40 x 6 mm thick angle iron legs with 12 mm thick bakelite / wooden sheet erected complete with following sizes 
(c ) </t>
    </r>
    <r>
      <rPr>
        <b/>
        <sz val="12"/>
        <color indexed="8"/>
        <rFont val="Times New Roman"/>
        <family val="1"/>
      </rPr>
      <t>Section pillar having size 60 x 30 x 45</t>
    </r>
  </si>
  <si>
    <t>11-1-18</t>
  </si>
  <si>
    <r>
      <t xml:space="preserve">Hire charges for providing &amp; dismantling </t>
    </r>
    <r>
      <rPr>
        <b/>
        <sz val="12"/>
        <color indexed="8"/>
        <rFont val="Times New Roman"/>
        <family val="1"/>
      </rPr>
      <t>pipe type earthing</t>
    </r>
    <r>
      <rPr>
        <sz val="12"/>
        <color indexed="8"/>
        <rFont val="Times New Roman"/>
        <family val="1"/>
      </rPr>
      <t xml:space="preserve"> for temporary electrical installation having G.I. pipe, erected in earth pit with necessary salt &amp; charcoal &amp; necessary earth wire. </t>
    </r>
  </si>
  <si>
    <t>1st day</t>
  </si>
  <si>
    <t>11-1-19</t>
  </si>
  <si>
    <r>
      <t xml:space="preserve">Hire charges for providing, erecting &amp; dismantling after use of good running condition for PVC </t>
    </r>
    <r>
      <rPr>
        <b/>
        <sz val="12"/>
        <rFont val="Times New Roman"/>
        <family val="1"/>
      </rPr>
      <t>copper /Aluminium  wire mains</t>
    </r>
    <r>
      <rPr>
        <sz val="12"/>
        <rFont val="Times New Roman"/>
        <family val="1"/>
      </rPr>
      <t xml:space="preserve"> with suitable copper PVC 1.5 / 2.5 Sq.mm earth wire of following size </t>
    </r>
  </si>
  <si>
    <r>
      <t xml:space="preserve">(a) 2 wire 1  /1.5  /  2.5 Sq.mm </t>
    </r>
    <r>
      <rPr>
        <b/>
        <sz val="12"/>
        <rFont val="Times New Roman"/>
        <family val="1"/>
      </rPr>
      <t>Copper</t>
    </r>
  </si>
  <si>
    <t xml:space="preserve">1st. Day Per RMT.          </t>
  </si>
  <si>
    <r>
      <t xml:space="preserve">(a) 2 wire 1  /1.5  /  2.5 Sq.mm  </t>
    </r>
    <r>
      <rPr>
        <b/>
        <sz val="12"/>
        <rFont val="Times New Roman"/>
        <family val="1"/>
      </rPr>
      <t>Aluminium</t>
    </r>
  </si>
  <si>
    <r>
      <t xml:space="preserve">(b) 2 wire 4 /6 Sq.mm </t>
    </r>
    <r>
      <rPr>
        <b/>
        <sz val="12"/>
        <rFont val="Times New Roman"/>
        <family val="1"/>
      </rPr>
      <t>Copper</t>
    </r>
  </si>
  <si>
    <r>
      <t xml:space="preserve">(b) 2 wire 4 /6 Sq.mm  </t>
    </r>
    <r>
      <rPr>
        <b/>
        <sz val="12"/>
        <rFont val="Times New Roman"/>
        <family val="1"/>
      </rPr>
      <t>Aluminium</t>
    </r>
  </si>
  <si>
    <r>
      <t xml:space="preserve">(c) 4 wire 4   Sq.mm </t>
    </r>
    <r>
      <rPr>
        <b/>
        <sz val="12"/>
        <rFont val="Times New Roman"/>
        <family val="1"/>
      </rPr>
      <t>Copper</t>
    </r>
  </si>
  <si>
    <r>
      <t xml:space="preserve">(c) 4 wire 4   Sq.mm  </t>
    </r>
    <r>
      <rPr>
        <b/>
        <sz val="12"/>
        <rFont val="Times New Roman"/>
        <family val="1"/>
      </rPr>
      <t>Aluminium</t>
    </r>
  </si>
  <si>
    <r>
      <t xml:space="preserve">(d) 4 wire 6    Sq.mm </t>
    </r>
    <r>
      <rPr>
        <b/>
        <sz val="12"/>
        <rFont val="Times New Roman"/>
        <family val="1"/>
      </rPr>
      <t xml:space="preserve"> Copper</t>
    </r>
  </si>
  <si>
    <r>
      <t xml:space="preserve">(d) 4 wire 6    Sq.mm  </t>
    </r>
    <r>
      <rPr>
        <b/>
        <sz val="12"/>
        <rFont val="Times New Roman"/>
        <family val="1"/>
      </rPr>
      <t>Aluminium</t>
    </r>
  </si>
  <si>
    <r>
      <t xml:space="preserve">(e) 4 wire 10    Sq.mm </t>
    </r>
    <r>
      <rPr>
        <b/>
        <sz val="12"/>
        <rFont val="Times New Roman"/>
        <family val="1"/>
      </rPr>
      <t xml:space="preserve"> Copper</t>
    </r>
  </si>
  <si>
    <r>
      <t xml:space="preserve">(e) 4 wire 10    Sq.mm  </t>
    </r>
    <r>
      <rPr>
        <b/>
        <sz val="12"/>
        <rFont val="Times New Roman"/>
        <family val="1"/>
      </rPr>
      <t>Aluminium</t>
    </r>
  </si>
  <si>
    <t>11-1-20-A</t>
  </si>
  <si>
    <r>
      <t xml:space="preserve">Hire charges for providing erecting  as per direction of Engineer in charge dismantling after use of good running condition for temporary power supply the </t>
    </r>
    <r>
      <rPr>
        <b/>
        <sz val="12"/>
        <color indexed="8"/>
        <rFont val="Times New Roman"/>
        <family val="1"/>
      </rPr>
      <t>XLPE insulated armoured cable Aluminium conductor</t>
    </r>
    <r>
      <rPr>
        <sz val="12"/>
        <color indexed="8"/>
        <rFont val="Times New Roman"/>
        <family val="1"/>
      </rPr>
      <t xml:space="preserve"> of following size.</t>
    </r>
  </si>
  <si>
    <t>(a) 2 Core  10 Sq.mm</t>
  </si>
  <si>
    <t>1st Day /Mtr.</t>
  </si>
  <si>
    <t>(b) 4 Core 4 / 6 / 10 Sq.mm</t>
  </si>
  <si>
    <t>(c) 4 Core 16 / 25 Sq.mm</t>
  </si>
  <si>
    <t>(d) 3 1/2 Core 35 Sq.mm</t>
  </si>
  <si>
    <t>(e) 3 1/2 Core 50 / 70 Sq.mm</t>
  </si>
  <si>
    <t>(f) 3 1/2 Core 95 / 120 Sq.mm</t>
  </si>
  <si>
    <t>(g) 3 1/2 Core 150 / 185 Sq.mm</t>
  </si>
  <si>
    <t>11-1-20-B</t>
  </si>
  <si>
    <r>
      <t xml:space="preserve">Hire charges for providing, erecting as per direction of Engineer-in-charge, dismantling after use of good running condition for temporary power supply, the </t>
    </r>
    <r>
      <rPr>
        <b/>
        <sz val="12"/>
        <color indexed="8"/>
        <rFont val="Times New Roman"/>
        <family val="1"/>
      </rPr>
      <t>XLPE  insulated armoured. cable multistrand Copper conductor</t>
    </r>
    <r>
      <rPr>
        <sz val="12"/>
        <color indexed="8"/>
        <rFont val="Times New Roman"/>
        <family val="1"/>
      </rPr>
      <t xml:space="preserve"> of following size </t>
    </r>
  </si>
  <si>
    <t xml:space="preserve">(a) 3  1/2 Core 35   Sq.mm </t>
  </si>
  <si>
    <t xml:space="preserve">(b) 3 1/2 Core   50    Sq.mm </t>
  </si>
  <si>
    <t xml:space="preserve">(c) 4  Core 16   Sq.mm </t>
  </si>
  <si>
    <t xml:space="preserve">(d) 4  Core 25   Sq.mm </t>
  </si>
  <si>
    <t>11-1-21</t>
  </si>
  <si>
    <r>
      <t xml:space="preserve">Hire charges for providing, erecting with necessary connection and dismantling after user of good running </t>
    </r>
    <r>
      <rPr>
        <b/>
        <sz val="12"/>
        <color indexed="8"/>
        <rFont val="Times New Roman"/>
        <family val="1"/>
      </rPr>
      <t xml:space="preserve">ELCBs/RCCBs </t>
    </r>
    <r>
      <rPr>
        <sz val="12"/>
        <color indexed="8"/>
        <rFont val="Times New Roman"/>
        <family val="1"/>
      </rPr>
      <t>conforming to IS 12640 and having sensitivity of 30 Ma and Short circuit withstand capacity of 6 KA and suitable for operation on single phase 240 V having characteristic of quick action &amp; tripping with all advance feature &amp; do not incorporate any electronic component for following Max rating</t>
    </r>
  </si>
  <si>
    <t>(ii) 40 Amps D.P [Cat.II]</t>
  </si>
  <si>
    <t>1st Day /Nos.</t>
  </si>
  <si>
    <t>(iii) 63 Amps D.P [Cat.II]</t>
  </si>
  <si>
    <t>11-1-22</t>
  </si>
  <si>
    <t>Hire charges for providing, erecting with necessary connection and dismantling after user of good running ELCBs/RCCBs conforming to IS 12640 and having sensitivity of 30 ma and short circuit withstand capacity of 6 KA and Suitable for operation on 3 Phase and neutral 415V having characteristic of quick action &amp; tripping with all advance feature &amp; do not incorporate any electronic component for following Max rating</t>
  </si>
  <si>
    <t>(ii) 40 Amps FP [Cat.II]</t>
  </si>
  <si>
    <t>(iii) 63 Amps FP [Cat.II]</t>
  </si>
  <si>
    <t>(iv) 100 Amps FP (100m A Sensitivity) [Cat.II]</t>
  </si>
  <si>
    <t>11-1-23</t>
  </si>
  <si>
    <r>
      <t xml:space="preserve">Hire charges for providing, erecting with necessary connection and dismantling after user of good running Approved make </t>
    </r>
    <r>
      <rPr>
        <b/>
        <sz val="12"/>
        <color indexed="8"/>
        <rFont val="Times New Roman"/>
        <family val="1"/>
      </rPr>
      <t xml:space="preserve">Four Pole LT Heavy Duty Switch Disconnector Fuse Unit Cubical type </t>
    </r>
    <r>
      <rPr>
        <sz val="12"/>
        <color indexed="8"/>
        <rFont val="Times New Roman"/>
        <family val="1"/>
      </rPr>
      <t xml:space="preserve">for panel mounting complete with operating mechanism suitable to operate on 415 V AC 23A duty with HRC fuses of suitable load confirming to I.S 13947 (Part I &amp; III) of following capacities. </t>
    </r>
  </si>
  <si>
    <t>(a) 32 Amp [Cat.II]</t>
  </si>
  <si>
    <t>(b) 63 Amp [Cat.II]</t>
  </si>
  <si>
    <t>© 125 Amp [Cat.II]</t>
  </si>
  <si>
    <t>(d) 200 Amp [Cat.II]</t>
  </si>
  <si>
    <t>(e) 250 Amp  [Cat.II]</t>
  </si>
  <si>
    <t>(f) 315 / 320 Amp  [Cat.II]</t>
  </si>
  <si>
    <t>(g) 400 Amp  [Cat.II]</t>
  </si>
  <si>
    <t>(h) 630 Amp  [Cat.II]</t>
  </si>
  <si>
    <t>(i) 800 Amp  [Cat.II]</t>
  </si>
  <si>
    <t>11-1-24</t>
  </si>
  <si>
    <r>
      <t xml:space="preserve">Hire charges for providing, erecting with necessary connection and dismantling after user of good running Supplying &amp; erecting approved make </t>
    </r>
    <r>
      <rPr>
        <b/>
        <sz val="12"/>
        <color indexed="8"/>
        <rFont val="Times New Roman"/>
        <family val="1"/>
      </rPr>
      <t>Four Pole 415V change over switch interior for panel mounting</t>
    </r>
    <r>
      <rPr>
        <sz val="12"/>
        <color indexed="8"/>
        <rFont val="Times New Roman"/>
        <family val="1"/>
      </rPr>
      <t xml:space="preserve"> with operating mechanism A.C. 23 duty confirming to I. S.S. for</t>
    </r>
  </si>
  <si>
    <t>(a) 32 - 40 A  [Cat.II]</t>
  </si>
  <si>
    <t>(b) 63 A  [Cat.II]</t>
  </si>
  <si>
    <t>(c) 100 - 125 A  [Cat.II]</t>
  </si>
  <si>
    <t>(d) 200 A  [Cat.II]</t>
  </si>
  <si>
    <t>(f) 315 / 320 A  [Cat.II]</t>
  </si>
  <si>
    <t>(g) 400 A  [Cat.II]</t>
  </si>
  <si>
    <t>(h) 630 A  [Cat.II]</t>
  </si>
  <si>
    <t>(i) 1000 A  [Cat.II]</t>
  </si>
  <si>
    <t>11-01-25.</t>
  </si>
  <si>
    <r>
      <t xml:space="preserve">Hire charges for Providing &amp; erecting weather proof, dust &amp; vermin proof  / floor  mounted Front operated </t>
    </r>
    <r>
      <rPr>
        <b/>
        <sz val="11"/>
        <color indexed="8"/>
        <rFont val="Times New Roman"/>
        <family val="1"/>
      </rPr>
      <t xml:space="preserve">outdoor type cubical Panel board having IP 64 protection </t>
    </r>
    <r>
      <rPr>
        <sz val="11"/>
        <color indexed="8"/>
        <rFont val="Times New Roman"/>
        <family val="1"/>
      </rPr>
      <t xml:space="preserve"> made from 14 SWG thick CRC MS sheet for outer body and doors, 16 SWG thick CRC MS Sheet for internal partition with neccessary supporting angles, flats including cutting.bending , drilling, welding revetting, with internal Partition and cable alley as per requirement &amp; instruction of Engineer in charge with  SUPPLY AND ERECTION OF  of following type switchgears /busbars with suitable size of inter connecting PVC copper wire/ copper strips,rubber grommets,rib,earth bus and earth bolt, foundation flange- bolts - base plates, sufficient Nos. of Hinged doors, handles with locking arrangement &amp;rubber gasket complete .The panel shall be painted with epoxy powder coating and have  Cu. Busbar strips
. Each bus bar should insulated  by color coded sleeve. WITH PHASE INDICATING Lamps--- Digital Multi function meter - Voltage, Amperes &amp; Frequency only) with CTs coils) Each panel will contain earth bus and earth bolts with danger notice board.</t>
    </r>
  </si>
  <si>
    <t>11-01-25a</t>
  </si>
  <si>
    <r>
      <t xml:space="preserve">[A] Cubical panel with main interior </t>
    </r>
    <r>
      <rPr>
        <b/>
        <sz val="12"/>
        <color indexed="8"/>
        <rFont val="Times New Roman"/>
        <family val="1"/>
      </rPr>
      <t xml:space="preserve">400 A 4 pole on load Changeover switch and 400 A SFU/MCCB with four nos of 40 A DP MCB and four nos of 40 A FP MCB </t>
    </r>
    <r>
      <rPr>
        <sz val="12"/>
        <color indexed="8"/>
        <rFont val="Times New Roman"/>
        <family val="1"/>
      </rPr>
      <t>as standard outgoing. Other outgoing is to be incorporated as demanded by engineer in charge and rate for the same is to be taken extra in addition to this.</t>
    </r>
  </si>
  <si>
    <t>11-1-25b</t>
  </si>
  <si>
    <r>
      <t xml:space="preserve">[B] Cubical panel with main interior </t>
    </r>
    <r>
      <rPr>
        <b/>
        <sz val="12"/>
        <color indexed="8"/>
        <rFont val="Times New Roman"/>
        <family val="1"/>
      </rPr>
      <t>250 A 4 pole on load Changeover switch and 250A SFU/MCCB with four nos of 40 A DP MCB and four nos of 40 A FP MCB</t>
    </r>
    <r>
      <rPr>
        <sz val="12"/>
        <color indexed="8"/>
        <rFont val="Times New Roman"/>
        <family val="1"/>
      </rPr>
      <t xml:space="preserve"> as standard outgoing. Other outgoing  is to be incorporated as demanded by engineer in charge and rate for the same is to be taken extra in addition to this.(Refer item no 11-1-26 &amp; 11-1-27)</t>
    </r>
  </si>
  <si>
    <t>11-1-25c</t>
  </si>
  <si>
    <t xml:space="preserve">[C] Power Distribution Cubical Panel with main incomer 125A also with  change over switch of 125A TPN MCCB - 1 Nos., 200 A Alum. Busbar, Outgoing 16A SP MCB 10 KA - 6 Nos, [Panel size 800mm H x 600 mm W x 350 mm D] </t>
  </si>
  <si>
    <t>11-1-26.</t>
  </si>
  <si>
    <r>
      <t>63/100 A Four Pole Moulded Case Circuit Breaker</t>
    </r>
    <r>
      <rPr>
        <sz val="12"/>
        <color indexed="8"/>
        <rFont val="Times New Roman"/>
        <family val="1"/>
      </rPr>
      <t xml:space="preserve"> with spreader terminal  and indication lamp mounted on cubical panel with complete proper termination .</t>
    </r>
  </si>
  <si>
    <t>11-1-27.</t>
  </si>
  <si>
    <r>
      <t>200 A Four Pole Moulded Case Circuit Breaker</t>
    </r>
    <r>
      <rPr>
        <sz val="12"/>
        <color indexed="8"/>
        <rFont val="Times New Roman"/>
        <family val="1"/>
      </rPr>
      <t xml:space="preserve"> with spreader terminal and indication lamp mounted on cubical panel with complete proper termination .</t>
    </r>
  </si>
  <si>
    <t>Temp. Air Conditioning Machine</t>
  </si>
  <si>
    <t>11-1-28</t>
  </si>
  <si>
    <r>
      <t xml:space="preserve">Hire charges for providing erecting and dismantling after use of good running condition </t>
    </r>
    <r>
      <rPr>
        <b/>
        <sz val="12"/>
        <color indexed="8"/>
        <rFont val="Times New Roman"/>
        <family val="1"/>
      </rPr>
      <t xml:space="preserve">Air Conditioning ductable type AC Machine complete with erection, gas charging etc having capacity up to 8.5 Ton </t>
    </r>
  </si>
  <si>
    <t>1st day / Per Ton</t>
  </si>
  <si>
    <t>11-1-29</t>
  </si>
  <si>
    <r>
      <t xml:space="preserve">Hire charges for providing , erecting and dismantling after use of good running condition </t>
    </r>
    <r>
      <rPr>
        <b/>
        <sz val="12"/>
        <color indexed="8"/>
        <rFont val="Times New Roman"/>
        <family val="1"/>
      </rPr>
      <t xml:space="preserve">14" flexible 600 GSM,SRF duct for ductable types ac machine </t>
    </r>
    <r>
      <rPr>
        <sz val="12"/>
        <color indexed="8"/>
        <rFont val="Times New Roman"/>
        <family val="1"/>
      </rPr>
      <t>one  as per instruction of engineer in charge.</t>
    </r>
  </si>
  <si>
    <t>1st day / Per Rn.Mtr</t>
  </si>
  <si>
    <t>11-1-30</t>
  </si>
  <si>
    <r>
      <t xml:space="preserve">Hire charges for providing, erecting and dismantling after use </t>
    </r>
    <r>
      <rPr>
        <b/>
        <sz val="12"/>
        <color indexed="8"/>
        <rFont val="Times New Roman"/>
        <family val="1"/>
      </rPr>
      <t xml:space="preserve">1.0 / 1.5 ton window type Air-conditioning machine </t>
    </r>
    <r>
      <rPr>
        <sz val="12"/>
        <color indexed="8"/>
        <rFont val="Times New Roman"/>
        <family val="1"/>
      </rPr>
      <t xml:space="preserve">complete  with temporary frame and fabrication work &amp; required materials to achieve cooling temp. </t>
    </r>
  </si>
  <si>
    <t>1st day / No.</t>
  </si>
  <si>
    <t>11-1-31</t>
  </si>
  <si>
    <r>
      <t xml:space="preserve">Hire charges for providing erecting and dismantling after use of good running condition </t>
    </r>
    <r>
      <rPr>
        <b/>
        <sz val="12"/>
        <color indexed="8"/>
        <rFont val="Times New Roman"/>
        <family val="1"/>
      </rPr>
      <t xml:space="preserve"> temporary wooden frame made of teakwood for proper support of provide window AC unit </t>
    </r>
    <r>
      <rPr>
        <sz val="12"/>
        <color indexed="8"/>
        <rFont val="Times New Roman"/>
        <family val="1"/>
      </rPr>
      <t>blocking the side openings around the unit by hard wood / plywood &amp; placing the provided unit in approved manner complete.</t>
    </r>
  </si>
  <si>
    <t>11-1-32</t>
  </si>
  <si>
    <r>
      <t>Hire charges for providing, erecting and dismantling after use</t>
    </r>
    <r>
      <rPr>
        <b/>
        <sz val="12"/>
        <color indexed="8"/>
        <rFont val="Times New Roman"/>
        <family val="1"/>
      </rPr>
      <t xml:space="preserve"> portable type Air-conditioning machine </t>
    </r>
    <r>
      <rPr>
        <sz val="12"/>
        <color indexed="8"/>
        <rFont val="Times New Roman"/>
        <family val="1"/>
      </rPr>
      <t>complete  with erection ,gas charging and required flexible duct &amp; required drain system etc. for 0.75 /1.0 Ton per one day as per instruction of engineer in charge.</t>
    </r>
  </si>
  <si>
    <t>11-1-33</t>
  </si>
  <si>
    <r>
      <t xml:space="preserve">Hire charges for providing erecting and dismantling after use of good running </t>
    </r>
    <r>
      <rPr>
        <b/>
        <sz val="12"/>
        <color indexed="8"/>
        <rFont val="Times New Roman"/>
        <family val="1"/>
      </rPr>
      <t>Tower type /Split type Air-Conditioning machine</t>
    </r>
    <r>
      <rPr>
        <sz val="12"/>
        <color indexed="8"/>
        <rFont val="Times New Roman"/>
        <family val="1"/>
      </rPr>
      <t xml:space="preserve"> complete with erection gas charging etc.
(a)</t>
    </r>
    <r>
      <rPr>
        <b/>
        <sz val="12"/>
        <color indexed="8"/>
        <rFont val="Times New Roman"/>
        <family val="1"/>
      </rPr>
      <t xml:space="preserve"> 1.5-2 ton for one day </t>
    </r>
    <r>
      <rPr>
        <sz val="12"/>
        <color indexed="8"/>
        <rFont val="Times New Roman"/>
        <family val="1"/>
      </rPr>
      <t>as per instruction of engineer.</t>
    </r>
  </si>
  <si>
    <t>11-1-34</t>
  </si>
  <si>
    <r>
      <t xml:space="preserve">Hire charges for providing erecting and dismantling after use of good running condition  </t>
    </r>
    <r>
      <rPr>
        <b/>
        <sz val="12"/>
        <color indexed="8"/>
        <rFont val="Times New Roman"/>
        <family val="1"/>
      </rPr>
      <t xml:space="preserve">Tower type/ split type Air-conditioning machine </t>
    </r>
    <r>
      <rPr>
        <sz val="12"/>
        <color indexed="8"/>
        <rFont val="Times New Roman"/>
        <family val="1"/>
      </rPr>
      <t xml:space="preserve">complete with erection, gas charging etc.
</t>
    </r>
    <r>
      <rPr>
        <b/>
        <sz val="12"/>
        <color indexed="8"/>
        <rFont val="Times New Roman"/>
        <family val="1"/>
      </rPr>
      <t xml:space="preserve">(b) 3/4/5 Ton for one day </t>
    </r>
    <r>
      <rPr>
        <sz val="12"/>
        <color indexed="8"/>
        <rFont val="Times New Roman"/>
        <family val="1"/>
      </rPr>
      <t>as per instruction of engineer.</t>
    </r>
  </si>
  <si>
    <t>11-1-35-A</t>
  </si>
  <si>
    <r>
      <t xml:space="preserve">Hire Charges for providing </t>
    </r>
    <r>
      <rPr>
        <b/>
        <sz val="12"/>
        <color indexed="8"/>
        <rFont val="Times New Roman"/>
        <family val="1"/>
      </rPr>
      <t>90 Ltr capacity refrigerator</t>
    </r>
    <r>
      <rPr>
        <sz val="12"/>
        <color indexed="8"/>
        <rFont val="Times New Roman"/>
        <family val="1"/>
      </rPr>
      <t xml:space="preserve"> complete with M.S. stand if necessary connected with main switchgear &amp; connecting earthing.</t>
    </r>
  </si>
  <si>
    <t>11-1-35-B</t>
  </si>
  <si>
    <r>
      <t xml:space="preserve">Hire Charges for providing </t>
    </r>
    <r>
      <rPr>
        <b/>
        <sz val="12"/>
        <color indexed="8"/>
        <rFont val="Times New Roman"/>
        <family val="1"/>
      </rPr>
      <t>165 Ltr capacity refrigerator</t>
    </r>
    <r>
      <rPr>
        <sz val="12"/>
        <color indexed="8"/>
        <rFont val="Times New Roman"/>
        <family val="1"/>
      </rPr>
      <t xml:space="preserve"> complete with M.S. stand if necessary connected with main switchgear &amp; connecting earthing.</t>
    </r>
  </si>
  <si>
    <t>11-1-35-C</t>
  </si>
  <si>
    <r>
      <t xml:space="preserve">Hire Charges for providing </t>
    </r>
    <r>
      <rPr>
        <b/>
        <sz val="12"/>
        <color indexed="8"/>
        <rFont val="Times New Roman"/>
        <family val="1"/>
      </rPr>
      <t xml:space="preserve">250 / 280 Ltr capacity refrigerator </t>
    </r>
    <r>
      <rPr>
        <sz val="12"/>
        <color indexed="8"/>
        <rFont val="Times New Roman"/>
        <family val="1"/>
      </rPr>
      <t>complete with M.S. stand if necessary connected with main switchgear &amp; connecting earthing.</t>
    </r>
  </si>
  <si>
    <t>11-1-36</t>
  </si>
  <si>
    <r>
      <t xml:space="preserve">Hire charges for providing </t>
    </r>
    <r>
      <rPr>
        <b/>
        <sz val="12"/>
        <color indexed="8"/>
        <rFont val="Times New Roman"/>
        <family val="1"/>
      </rPr>
      <t xml:space="preserve">150 Ltr. Capacity water cooler </t>
    </r>
    <r>
      <rPr>
        <sz val="12"/>
        <color indexed="8"/>
        <rFont val="Times New Roman"/>
        <family val="1"/>
      </rPr>
      <t>with candle type water filter &amp; M.S. Stand with minor plumbing work, connected with main switchgear and connecting earthing.</t>
    </r>
  </si>
  <si>
    <t>11-1-37.</t>
  </si>
  <si>
    <r>
      <t xml:space="preserve">Hire charges for Supplying and erecting </t>
    </r>
    <r>
      <rPr>
        <b/>
        <sz val="12"/>
        <color indexed="8"/>
        <rFont val="Times New Roman"/>
        <family val="1"/>
      </rPr>
      <t>19 / 20 mm. nominal bore Medium Class M.S. Pipe down rod</t>
    </r>
    <r>
      <rPr>
        <sz val="12"/>
        <color indexed="8"/>
        <rFont val="Times New Roman"/>
        <family val="1"/>
      </rPr>
      <t xml:space="preserve"> erected with fan clamp/hook duly painted for fan complete with necessary 24/ O.20, 3 core flexible wire with earthing and installed in proper way to ensure vibration free movement..</t>
    </r>
  </si>
  <si>
    <t>Rn Mtr</t>
  </si>
  <si>
    <t>11-1-38.</t>
  </si>
  <si>
    <r>
      <t xml:space="preserve">Hire charges for Supplying and erecting ISI mark Medium class </t>
    </r>
    <r>
      <rPr>
        <b/>
        <sz val="12"/>
        <color indexed="8"/>
        <rFont val="Times New Roman"/>
        <family val="1"/>
      </rPr>
      <t xml:space="preserve">RIGID PVC /Flexible Pipes erected </t>
    </r>
    <r>
      <rPr>
        <sz val="12"/>
        <color indexed="8"/>
        <rFont val="Times New Roman"/>
        <family val="1"/>
      </rPr>
      <t>on/in wall or ceiling  erected with necessary fittings &amp;  boxes fixed with adhesive solution &amp; Clamps  in approved manner as directed</t>
    </r>
  </si>
  <si>
    <t>11-1-39.</t>
  </si>
  <si>
    <r>
      <t xml:space="preserve">Hire Charges for Providing,erecting &amp;,commissioning &amp; dismantling </t>
    </r>
    <r>
      <rPr>
        <b/>
        <sz val="12"/>
        <color indexed="8"/>
        <rFont val="Times New Roman"/>
        <family val="1"/>
      </rPr>
      <t xml:space="preserve">AHU(Air Handling Unit) for circulating air </t>
    </r>
    <r>
      <rPr>
        <sz val="12"/>
        <color indexed="8"/>
        <rFont val="Times New Roman"/>
        <family val="1"/>
      </rPr>
      <t>as part of air conditioning system upto 34 ton i.e four units of 8.5 ton.</t>
    </r>
  </si>
  <si>
    <t>11-1-40a</t>
  </si>
  <si>
    <r>
      <t xml:space="preserve">Hire charges for </t>
    </r>
    <r>
      <rPr>
        <b/>
        <sz val="12"/>
        <color indexed="8"/>
        <rFont val="Times New Roman"/>
        <family val="1"/>
      </rPr>
      <t xml:space="preserve">LED Flood Light Fittings </t>
    </r>
    <r>
      <rPr>
        <sz val="12"/>
        <color indexed="8"/>
        <rFont val="Times New Roman"/>
        <family val="1"/>
      </rPr>
      <t>with High Power White LEDs wattage of 1 Watt and above assemble on single MCPCB, efficiency more than 130 Im/w and corrosion free high pressure dia cast aluminum housing with smooth finish powder coated and hit sink extruded aluminum with diffuser and Polycarbonate optics/lenses with company mark/name engraved or embossed 120 to 300 V, Power factor more than 0.95, THD&lt;10%, CCT 5000 K to 5700K, Uniformity ratio &gt;0.45, Luminaire efficiency &gt; 85 Lumens/Watt, LED driver efficiency &gt;85%. CREE/OSRAM/PHILLIPS Lumileds /NICHIA/SEOUL/BridgeLux(U.S.A) make LED used for luminaire. (Each fitting required LM-79 &amp; LM-80 Certificates) (B) Flood Light (IP-65), Surge -4KV ( e ) Above 150 watts to 240 watts Cat-III</t>
    </r>
  </si>
  <si>
    <t>11-1-40b</t>
  </si>
  <si>
    <t>( e ) Above 100watts to 120  watts Cat-III</t>
  </si>
  <si>
    <t>11-1-40c</t>
  </si>
  <si>
    <t>( e ) Above 70 watts to 90  watts Cat-III</t>
  </si>
  <si>
    <t>11-1-41.</t>
  </si>
  <si>
    <r>
      <t xml:space="preserve">Hire charges for providing  &amp; dismantling earth pit of minimum bore dia.150mm size approved make </t>
    </r>
    <r>
      <rPr>
        <b/>
        <sz val="12"/>
        <color indexed="8"/>
        <rFont val="Times New Roman"/>
        <family val="1"/>
      </rPr>
      <t xml:space="preserve">Earthing Electrode consisting Pipe-in-Pipe Technology as per IS 3043-1987 </t>
    </r>
    <r>
      <rPr>
        <sz val="12"/>
        <color indexed="8"/>
        <rFont val="Times New Roman"/>
        <family val="1"/>
      </rPr>
      <t>made of corrosion free G.I.Pipes  having Outer pipe  dia of 50mm having 80-200 Micron galvanizing, Inner pipe dia of 25 mm having 200-250 Micron galvanizing, connection terminal dia of 12mm with constant ohmic value surrounded by highly conductive compound with high charge dissipation suitable for following type of applications(a) For Electrical Installation up to 440V in normal soil
Length of pipe - 1 Mtr
Back filling compound - 1 Nos Bag of 15 Kg.</t>
    </r>
  </si>
  <si>
    <t>11-1-42.</t>
  </si>
  <si>
    <r>
      <t xml:space="preserve">Hire charges for providing erecting and dismantling after use of good running condition </t>
    </r>
    <r>
      <rPr>
        <b/>
        <sz val="12"/>
        <rFont val="Times New Roman"/>
        <family val="1"/>
      </rPr>
      <t xml:space="preserve">Industrial Air Cooler With Water filling </t>
    </r>
    <r>
      <rPr>
        <sz val="12"/>
        <rFont val="Times New Roman"/>
        <family val="1"/>
      </rPr>
      <t>erected as per instruction of engineer-in -charge</t>
    </r>
  </si>
  <si>
    <t>Chapter 11.2 / Diesel Generator Set</t>
  </si>
  <si>
    <t>11-2-1</t>
  </si>
  <si>
    <r>
      <t xml:space="preserve">Hire charges for </t>
    </r>
    <r>
      <rPr>
        <b/>
        <sz val="12"/>
        <color indexed="8"/>
        <rFont val="Times New Roman"/>
        <family val="1"/>
      </rPr>
      <t>240V  A.C generating set</t>
    </r>
    <r>
      <rPr>
        <sz val="12"/>
        <color indexed="8"/>
        <rFont val="Times New Roman"/>
        <family val="1"/>
      </rPr>
      <t xml:space="preserve"> following capacity with necessary fuel, mains, switchgears  &amp; accessories complete running on load / no load as per requirement. With transportation charges up to 30 kms.. </t>
    </r>
  </si>
  <si>
    <t>[A] 1 KVA to 2 KVA</t>
  </si>
  <si>
    <t>[B]  3 KVA to 10KVA</t>
  </si>
  <si>
    <t>11-2-2</t>
  </si>
  <si>
    <r>
      <t>Hire charges for</t>
    </r>
    <r>
      <rPr>
        <b/>
        <sz val="12"/>
        <color indexed="8"/>
        <rFont val="Times New Roman"/>
        <family val="1"/>
      </rPr>
      <t>440V A.C generating set</t>
    </r>
    <r>
      <rPr>
        <sz val="12"/>
        <color indexed="8"/>
        <rFont val="Times New Roman"/>
        <family val="1"/>
      </rPr>
      <t xml:space="preserve"> following capacity with necessary fuel, mains, switchgears  &amp; accessories complete running on load / no load with acoustic sound proof enclosure etc as per requirement. With transportation charges up to 30 kms.</t>
    </r>
  </si>
  <si>
    <t>[A] 3 KVA to 10KVA</t>
  </si>
  <si>
    <t xml:space="preserve">[B] 11 KVA to 25 KVA ( excluding 25 KVA)  </t>
  </si>
  <si>
    <t xml:space="preserve">[C] 25 KVA to 40 KVA  </t>
  </si>
  <si>
    <t xml:space="preserve">[D] 50/62.5 KVA </t>
  </si>
  <si>
    <t xml:space="preserve">[E] 75 KVA to 100 KVA  </t>
  </si>
  <si>
    <t>[F] 125 KVA</t>
  </si>
  <si>
    <t>[G] 250 KVA</t>
  </si>
  <si>
    <t>11-2-3</t>
  </si>
  <si>
    <r>
      <t xml:space="preserve">Hire charges for providing, erecting, and dismantling after use Flexible PVC insulated </t>
    </r>
    <r>
      <rPr>
        <b/>
        <sz val="12"/>
        <color indexed="8"/>
        <rFont val="Times New Roman"/>
        <family val="1"/>
      </rPr>
      <t>multistrand multi core 1.1 kv grade lSl marked copper wires</t>
    </r>
    <r>
      <rPr>
        <sz val="12"/>
        <color indexed="8"/>
        <rFont val="Times New Roman"/>
        <family val="1"/>
      </rPr>
      <t xml:space="preserve"> for sound system of following size. 
</t>
    </r>
  </si>
  <si>
    <t xml:space="preserve">a).2 5 Sq.mm 3 core round l PVC sheathed
</t>
  </si>
  <si>
    <t>Mtr</t>
  </si>
  <si>
    <t>b).4.0 Sq mm 3 core round PVC sheathed</t>
  </si>
  <si>
    <t>Temp.  LED Screen &amp; Videography items</t>
  </si>
  <si>
    <t>11-3-1.</t>
  </si>
  <si>
    <r>
      <t xml:space="preserve">Hire charges for Providing ,Erecting and dismantling,after use of good running for </t>
    </r>
    <r>
      <rPr>
        <b/>
        <sz val="12"/>
        <color indexed="8"/>
        <rFont val="Times New Roman"/>
        <family val="1"/>
      </rPr>
      <t xml:space="preserve">Outdoor LED screen </t>
    </r>
    <r>
      <rPr>
        <sz val="12"/>
        <color indexed="8"/>
        <rFont val="Times New Roman"/>
        <family val="1"/>
      </rPr>
      <t>with necessary suitable structure,back support,wiring with Optical fibre cables with standby arrangement from LED panel to console &amp; necessary switchgear ,ELCB &amp; earthing etc.LED screen having a P4.8 or latest updated module &amp; having a each block of uniform size as suitable for site requirement with minimum refresh rate of 3000MHZ and IP65 protection and brightness &gt;= 5000 Cd/m2  as per requirement on site as per direction of engineer in charge.</t>
    </r>
  </si>
  <si>
    <t>11-3-1a.</t>
  </si>
  <si>
    <t xml:space="preserve">(a) With truss Structure </t>
  </si>
  <si>
    <t>1 St.Day. /sq.ft</t>
  </si>
  <si>
    <t>11-3-1b.</t>
  </si>
  <si>
    <t>(b) with metal/wooden structure</t>
  </si>
  <si>
    <t>11-3-2.</t>
  </si>
  <si>
    <r>
      <t xml:space="preserve">Hire charges for Providing ,Erecting and dismantling,after use of good running for </t>
    </r>
    <r>
      <rPr>
        <b/>
        <sz val="12"/>
        <color indexed="8"/>
        <rFont val="Times New Roman"/>
        <family val="1"/>
      </rPr>
      <t>indoor LED screen</t>
    </r>
    <r>
      <rPr>
        <sz val="12"/>
        <color indexed="8"/>
        <rFont val="Times New Roman"/>
        <family val="1"/>
      </rPr>
      <t xml:space="preserve"> with necessary suitable structure,back support,wiring with optical fibre  cables  with standby arrangement from LED panel to console &amp; necessary switchgear ,ELCB &amp; earthing etc.LED screen having a P4.8 or latest updated module &amp; having a each block of uniform size as suitable for site requirement with minimum refresh rate of 1920MHZ,and IP54 protection,as per requirement on site as per direction of engineer in charge.</t>
    </r>
  </si>
  <si>
    <t>11-3-2a</t>
  </si>
  <si>
    <t>11-3-2b.</t>
  </si>
  <si>
    <t>11-3-3.</t>
  </si>
  <si>
    <r>
      <t xml:space="preserve">Hire charges for Providing ,Erecting and dismantling,after use of good running for </t>
    </r>
    <r>
      <rPr>
        <b/>
        <sz val="12"/>
        <color indexed="8"/>
        <rFont val="Times New Roman"/>
        <family val="1"/>
      </rPr>
      <t>DTH system</t>
    </r>
    <r>
      <rPr>
        <sz val="12"/>
        <color indexed="8"/>
        <rFont val="Times New Roman"/>
        <family val="1"/>
      </rPr>
      <t xml:space="preserve"> having enough size disc for receiving digital signal and set up box as required for programme complete with good quality interconnecting wires and necessary top up recharge( Tata Sky, Airtel, Dish TV, etc...)</t>
    </r>
  </si>
  <si>
    <t xml:space="preserve">1 St.Day. </t>
  </si>
  <si>
    <t>11-3-4.</t>
  </si>
  <si>
    <r>
      <t>Hire charges for Providing ,Erecting and dismantling,after use of good running for jimmy</t>
    </r>
    <r>
      <rPr>
        <b/>
        <sz val="12"/>
        <color indexed="8"/>
        <rFont val="Times New Roman"/>
        <family val="1"/>
      </rPr>
      <t xml:space="preserve"> jib motorized crane </t>
    </r>
    <r>
      <rPr>
        <sz val="12"/>
        <color indexed="8"/>
        <rFont val="Times New Roman"/>
        <family val="1"/>
      </rPr>
      <t>of length as per site requirement with necessary mechanical safety and competent operating person with HD SONY or equivalent make camera as per direction of engineer in charge</t>
    </r>
  </si>
  <si>
    <t xml:space="preserve">1 St.Day/Job. </t>
  </si>
  <si>
    <t>11-3-5.</t>
  </si>
  <si>
    <r>
      <t xml:space="preserve">Hire charges for </t>
    </r>
    <r>
      <rPr>
        <b/>
        <sz val="12"/>
        <color indexed="8"/>
        <rFont val="Times New Roman"/>
        <family val="1"/>
      </rPr>
      <t xml:space="preserve">watch out software with multiple layered playback system </t>
    </r>
    <r>
      <rPr>
        <sz val="12"/>
        <color indexed="8"/>
        <rFont val="Times New Roman"/>
        <family val="1"/>
      </rPr>
      <t>having a latest licensed software version and media servers with multiple outputs and accessories with backup servers.</t>
    </r>
  </si>
  <si>
    <t xml:space="preserve">1 St.Day/job. </t>
  </si>
  <si>
    <t>11-3-6.</t>
  </si>
  <si>
    <r>
      <t xml:space="preserve">Hire charges for laying </t>
    </r>
    <r>
      <rPr>
        <b/>
        <sz val="12"/>
        <color indexed="8"/>
        <rFont val="Times New Roman"/>
        <family val="1"/>
      </rPr>
      <t xml:space="preserve">armoured optical fiber cable </t>
    </r>
    <r>
      <rPr>
        <sz val="12"/>
        <color indexed="8"/>
        <rFont val="Times New Roman"/>
        <family val="1"/>
      </rPr>
      <t xml:space="preserve">as per direction of engineer incharge </t>
    </r>
  </si>
  <si>
    <t xml:space="preserve">1 St.Day/mtr. </t>
  </si>
  <si>
    <t>11-3-7.</t>
  </si>
  <si>
    <r>
      <t xml:space="preserve">Hire charges </t>
    </r>
    <r>
      <rPr>
        <b/>
        <sz val="12"/>
        <color indexed="8"/>
        <rFont val="Times New Roman"/>
        <family val="1"/>
      </rPr>
      <t xml:space="preserve">with WiFi unit  wireless IP HD camera </t>
    </r>
    <r>
      <rPr>
        <sz val="12"/>
        <color indexed="8"/>
        <rFont val="Times New Roman"/>
        <family val="1"/>
      </rPr>
      <t>as per direction of engineer in charge.</t>
    </r>
  </si>
  <si>
    <t>11-3-8.</t>
  </si>
  <si>
    <r>
      <t xml:space="preserve">Hire charges for </t>
    </r>
    <r>
      <rPr>
        <b/>
        <sz val="12"/>
        <color indexed="8"/>
        <rFont val="Times New Roman"/>
        <family val="1"/>
      </rPr>
      <t xml:space="preserve">OB van With necessary wired and wireless IP base HD camera </t>
    </r>
    <r>
      <rPr>
        <sz val="12"/>
        <color indexed="8"/>
        <rFont val="Times New Roman"/>
        <family val="1"/>
      </rPr>
      <t>with necessary lenses. OB Van having required capacity of diesel generator, mixers, monitors,with suitable converters and processors with satellite connectivity.</t>
    </r>
  </si>
  <si>
    <t>11-3-9.</t>
  </si>
  <si>
    <r>
      <t xml:space="preserve">Charges for </t>
    </r>
    <r>
      <rPr>
        <b/>
        <sz val="12"/>
        <color indexed="8"/>
        <rFont val="Times New Roman"/>
        <family val="1"/>
      </rPr>
      <t xml:space="preserve">Making digital video " takhti" </t>
    </r>
    <r>
      <rPr>
        <sz val="12"/>
        <color indexed="8"/>
        <rFont val="Times New Roman"/>
        <family val="1"/>
      </rPr>
      <t>with necessary music,graphics,special effects,voice and editing as per instruction</t>
    </r>
  </si>
  <si>
    <t>Per Job</t>
  </si>
  <si>
    <t>11-3-10.</t>
  </si>
  <si>
    <r>
      <t xml:space="preserve">Hire charges for Providing ,Erecting and dismantling,after use of good running Condition for </t>
    </r>
    <r>
      <rPr>
        <b/>
        <sz val="12"/>
        <color indexed="8"/>
        <rFont val="Times New Roman"/>
        <family val="1"/>
      </rPr>
      <t xml:space="preserve">digital projector </t>
    </r>
    <r>
      <rPr>
        <sz val="12"/>
        <color indexed="8"/>
        <rFont val="Times New Roman"/>
        <family val="1"/>
      </rPr>
      <t xml:space="preserve">with spring loaded wire , wire screen connected with necessary mains switch gears &amp; maintaining the same during function.    (A)  </t>
    </r>
    <r>
      <rPr>
        <b/>
        <sz val="12"/>
        <color indexed="8"/>
        <rFont val="Times New Roman"/>
        <family val="1"/>
      </rPr>
      <t xml:space="preserve"> lum.4500lm or higher</t>
    </r>
    <r>
      <rPr>
        <sz val="12"/>
        <color indexed="8"/>
        <rFont val="Times New Roman"/>
        <family val="1"/>
      </rPr>
      <t xml:space="preserve">  
       Digital input ,control input, memory     input, audio input etc.                                                                                </t>
    </r>
  </si>
  <si>
    <t>11-3-11.</t>
  </si>
  <si>
    <r>
      <t xml:space="preserve">Hire charges for providing, erecting and dismantling after use of good running for </t>
    </r>
    <r>
      <rPr>
        <b/>
        <sz val="12"/>
        <rFont val="Times New Roman"/>
        <family val="1"/>
      </rPr>
      <t xml:space="preserve">HD Digital Video Recording (3CCD) </t>
    </r>
    <r>
      <rPr>
        <sz val="12"/>
        <rFont val="Times New Roman"/>
        <family val="1"/>
      </rPr>
      <t xml:space="preserve">approved make Cameras  for receiving and general shoots with competent authorized person  (each camera) as per direction of Engineer-in-charge)with all cabling as site requirement  </t>
    </r>
  </si>
  <si>
    <t>1 St.Day. / Job</t>
  </si>
  <si>
    <t>11-3-12.</t>
  </si>
  <si>
    <r>
      <t xml:space="preserve">Hire charges for providing, erecting and dismantling after use of good running for </t>
    </r>
    <r>
      <rPr>
        <b/>
        <sz val="12"/>
        <rFont val="Times New Roman"/>
        <family val="1"/>
      </rPr>
      <t xml:space="preserve">Live Black magic HD digital Set up </t>
    </r>
    <r>
      <rPr>
        <sz val="12"/>
        <rFont val="Times New Roman"/>
        <family val="1"/>
      </rPr>
      <t xml:space="preserve">for mixing  as per direction of Engineer-in-charge)with all cabling as site requirement    </t>
    </r>
  </si>
  <si>
    <t>11-3-13.</t>
  </si>
  <si>
    <r>
      <t xml:space="preserve">Hire charges for providing, erecting and dismantling after use of good running for </t>
    </r>
    <r>
      <rPr>
        <b/>
        <sz val="12"/>
        <color indexed="8"/>
        <rFont val="Times New Roman"/>
        <family val="1"/>
      </rPr>
      <t xml:space="preserve">High resolution on-line DVD making system  and Digital Video recording set-up </t>
    </r>
    <r>
      <rPr>
        <sz val="12"/>
        <color indexed="8"/>
        <rFont val="Times New Roman"/>
        <family val="1"/>
      </rPr>
      <t xml:space="preserve">and providing DVDs  as per Function requirement as per direction of Engineer - in -charge) </t>
    </r>
  </si>
  <si>
    <t>11-3-14.</t>
  </si>
  <si>
    <r>
      <t xml:space="preserve">Hire charges for providing, erecting and dismantling after use of good running for </t>
    </r>
    <r>
      <rPr>
        <b/>
        <sz val="12"/>
        <rFont val="Times New Roman"/>
        <family val="1"/>
      </rPr>
      <t xml:space="preserve">HD ON LINE RECORDER   and Digital Video recording set-up </t>
    </r>
    <r>
      <rPr>
        <sz val="12"/>
        <rFont val="Times New Roman"/>
        <family val="1"/>
      </rPr>
      <t xml:space="preserve">and providing DVDs  as per Function requirement as per direction of Engineer - in -charge) </t>
    </r>
  </si>
  <si>
    <t>11-3-15.</t>
  </si>
  <si>
    <r>
      <t xml:space="preserve">Hire charges for providing, erecting and dismantling after use of good running  for </t>
    </r>
    <r>
      <rPr>
        <b/>
        <sz val="12"/>
        <color indexed="8"/>
        <rFont val="Times New Roman"/>
        <family val="1"/>
      </rPr>
      <t xml:space="preserve">42"LED TV complete </t>
    </r>
    <r>
      <rPr>
        <sz val="12"/>
        <color indexed="8"/>
        <rFont val="Times New Roman"/>
        <family val="1"/>
      </rPr>
      <t xml:space="preserve">with necessary suitable cables as per requirement on site as per direction of Engineer - in - charge ) </t>
    </r>
  </si>
  <si>
    <t>11-3-16.</t>
  </si>
  <si>
    <r>
      <t xml:space="preserve">Hire charges for providing, erecting and dismantling after use of good running for </t>
    </r>
    <r>
      <rPr>
        <b/>
        <sz val="12"/>
        <color indexed="8"/>
        <rFont val="Times New Roman"/>
        <family val="1"/>
      </rPr>
      <t xml:space="preserve">52"/55" LED TV complete </t>
    </r>
    <r>
      <rPr>
        <sz val="12"/>
        <color indexed="8"/>
        <rFont val="Times New Roman"/>
        <family val="1"/>
      </rPr>
      <t>with necessary suitable cables as per requirement on site as per direction of Engineer - in -charge)</t>
    </r>
  </si>
  <si>
    <t>Temp. Stage light &amp; Truss System</t>
  </si>
  <si>
    <t>11-4-1.</t>
  </si>
  <si>
    <r>
      <t xml:space="preserve">Hire charges for Providing erecting commissioning &amp; Dismantling after use of </t>
    </r>
    <r>
      <rPr>
        <b/>
        <sz val="12"/>
        <rFont val="Times New Roman"/>
        <family val="1"/>
      </rPr>
      <t xml:space="preserve"> temporary lighting </t>
    </r>
    <r>
      <rPr>
        <sz val="12"/>
        <rFont val="Times New Roman"/>
        <family val="1"/>
      </rPr>
      <t xml:space="preserve">as per instruction of Engineer in charge. The </t>
    </r>
    <r>
      <rPr>
        <b/>
        <sz val="12"/>
        <rFont val="Times New Roman"/>
        <family val="1"/>
      </rPr>
      <t>Stage Lighting</t>
    </r>
    <r>
      <rPr>
        <sz val="12"/>
        <rFont val="Times New Roman"/>
        <family val="1"/>
      </rPr>
      <t xml:space="preserve"> consisting of Following with necessary stand by equipments in case of failure.</t>
    </r>
  </si>
  <si>
    <t>Lighting Equipment.</t>
  </si>
  <si>
    <t>(a) 1000 Watts 240 Volts Par Lights 200 Nos.
(b) 54x3W RGBW IP-67 (Cree or Osram Chip)  LED Par Lights - 200 Nos.
(c) Moving Head 20R ( Beam, Spot, Wash) 3-in-1 Hybrid - 40 Nos.
(d) Moving Head Sharpy (Beam) - 20 Nos.                                  (e)  LED Moving Head Wash - 24 Nos
(f) Hazers -  8 Nos.
(g) City colours 2500 Watts Lights - 8 Nos.
(h) Follow Lights 2500 Watts - 4 Nos.
(I) Control Dimmer - 8 Nos.
(j) Sky Trackers - 4 Nos.
(k) Fog Machine - 4 Nos.                                                        (l) Audience Blinder (4-eye)  - 12 Nos.</t>
  </si>
  <si>
    <t>11-4-2.</t>
  </si>
  <si>
    <t>Hire charges for Providing trussing for stage lighting as per instruction of event manager or engineer in charge it consisting of following.</t>
  </si>
  <si>
    <t>Front and back Truss Sections -  Total 240(120+120) feet 
Left &amp; Right side Truss Sections- Total 120(60+60) feet 
6 nos . Ground supports Towers.
2 Nos . front to back triangular sections.
6 nos CM Load star motor chain hoist. With necessary shekels belts, safety pins locks as per requirements.</t>
  </si>
  <si>
    <t>Temp Sound System</t>
  </si>
  <si>
    <t>11-5-1.</t>
  </si>
  <si>
    <t xml:space="preserve">Hire charges for providing, erecting, Operating and dismantling the sound system consisting of following items duly cored with copper core (For one day)
(a) 250W Audio Amplifier, 55A, 250W - 1 No.
(b) High performance CD/DVD player and laptop- 1 No.
(c) Horns with Units &amp; matching transformer - 6 Nos.
(d) 15" Speaker box two way 1000 watt - 4 Nos.
(e) Microphone (shure/sennhieser) - 4Nos
(f) Microphone Stand DGN - 4 Nos.
(g) Cord wire  with necessary cabling .
(h) Voltage Stabilizer 3 KVA - 1 No.
(i) 12V Battery - 1 No.
(j) Cordless Microphone - 1 No.         (K) Audio mixer 8/12/16 channel- 1 No. (L)Stage monitor- 2 Nos </t>
  </si>
  <si>
    <t>1st Day/ Job</t>
  </si>
  <si>
    <t>11-5-2.</t>
  </si>
  <si>
    <t>Hire Charges providing, erecting, Operating and dismantling the sound system consisting of following items duly cored with core (For one days)
1. Power Amplifier QSC RM X 24500 - 8 Nos.
2. 250W Audio Amplifier SSA-250W - 6 nos.
3. 500W EM Booster SPA 5000 EM Booster  - 2 nos.
4. High performance CD/DVD player and laptop- 1 No.
5. Horn with units and matching transformer 8.45+1100=1945 - 12 nos.
6. Cabinet Speaker with Hooper 5W x 650W - 20 nos.
7. Microphone Shoes SM 58 - 16 nos.
8. Microphone Stand
     (a) DGT 10 X 525.00 = 5250 - 1 Nos.
     (b) DGN 6 X 855 = 5130 - 6 Nos.
9. Voltage Servo Stabilizer 4KVA &amp; UPS - 3 nos.
10. Battery - 2 nos.
11. Audio Mixer 24/32 Channel - 1 nos.
12.DI Box-8 nos. Effect Processor -1 no.
13. Cord less microphone - 1 nos.
14. Button Mike - 1 nos.                                 15.Crossover &amp; equilizer-1 no                  16.Stage monitor- 2 Nos                            17.necessary mic wire with cabling.</t>
  </si>
  <si>
    <t>1st Day / Job</t>
  </si>
  <si>
    <t>11-5-3.</t>
  </si>
  <si>
    <t>Hire charges for providing, erecting, testing &amp; commissioning public address system / cultural programme 2 pair 3 way sound system having proper distribution of sound through out the fixed area comprising of the following (For one day)
(1) Mid Top (15" inch speaker &amp; 2 inch HF) 1000 watt - 8 Nos.
(2) Base speaker (18" inch speaker) 10000 watt - 8Nos.
(3) Power amplifier (QSC RMX2450) - 8 Nos.
(4) Stage Monitor (500 Watt) - 4 Nos.&amp;Side Fills Monitor(1000w)-2nos
(5) Effect processor  - 1 No
(6) Active Cross over - 1 No.
(7) Hand cordless Microphone - 3 Nos.
(8) Microphone (SM58) - 10 Nos.
(9) Microphone (SM57) - 5 Nos.
(10) Audio Link 32 channel - 1 No
(11) Microphone Stand - 15 Nos.
(12) 24 channel audio mixer - 1 No.
(13) CD &amp; DVD player with Recorder / Pen Driver &amp; laptop- 1 No.
(14) 5 KVA Voltage Stabilizer - 1 No. with suitable Battery backup.</t>
  </si>
  <si>
    <t>11-5-4.</t>
  </si>
  <si>
    <t xml:space="preserve">Hire Charges for providing erecting operating and dismantling the sound system consisting of following items duly Cored with copper Core. (For One days)
(a) One No Audio amplifier up to 250W suitable for reproduction of sound
(b) One No. DVD Player as per demand
(c) Two No. Horn / Speaker with necessary matching transformer if required
(d) Three Nos high sensitive Microphones of good quality with stand and cord Core of good quality
(e) One No voltage stabilizer 
(f) One No. 12/24 V Battery (as a stand by) </t>
  </si>
  <si>
    <t>11-5-5.</t>
  </si>
  <si>
    <t>Hire charges for providing, erecting, testing &amp; commissioning public address system / cultural programme 4 pair 3 way sound system having proper distribution of sound through out the fixed area comprising of the following (For one day)
(1) Mid Top (15" inch speaker &amp; 2 inch HF) 1000 watt - 12 Nos.
(2) Base speaker (18" inch speaker) 10000 watt - 12 Nos.
(3) Power amplifier (QSC RMX2450) - 12 Nos.
(4) Stage Monitor (500 Watt) - 4 Nos.
(5) Side Monitors (1000 Watt) - 2 Nos.
(6) Effect processor  - 1 No
(7) Active Cross over - 1 No.
(8) Equilizer (31 Bnd.) - 1 No.
(9) Hand cordless Microphone  - 4 Nos.
(10) Microphone (SM58) - 12 Nos.
(11) Microphone (SM57) - 6 Nos.
(12) Audio Link 32 channel - 1 No
(13) Microphone Stand - 18 Nos.
(14) 24 channel audio mixer - 1 No.
(15) CD &amp; DVD player with recorder / Pen Driver - 1 No.
(16) Laptop - 1 No.
(17) 5 KVA Voltage Stabilizer - 1 No.with suitable Battery backup.</t>
  </si>
  <si>
    <t>11-5-6.</t>
  </si>
  <si>
    <t xml:space="preserve">Hire charges for providing, erecting, testing &amp; commissioning public address system 6 to 8 pair 3 way Flying sound system having proper distribution of sound through out the fixed area comprising of the following for 1.0 to 1.5 lakh sq.feet dome area. (For one day)                                                              (1) RCF HDL20 / JBL VRX - 2 WAY TOPS – 16 to 20 Nos.                                                                  (2) RCF / JBL Dual 18 Inch Sub Woofers - 6 Nos.                                                                                    (3) 32 Channel Digital Console Inbuilt Effect Processor - 31 Band Equalizer - High Performance Pre Amp (Midas M32 / Behringer X32  or Equivalent) -  1 Nos. 
(4) Backup / Stand by console – 1no ( Same or Equivalent Configuration Required)                                                              (5) Stage Monitors (800 Watt) - 4 Nos.(JBL VRX 915/ RCF V35/ JBL SRX 712 or Equivalent)                                                                                                                                                (6) Side Fill Monitors (1000 Watt) - 2 Nos. ( JBL / BNC/ RCF or Equivalent) - 2 Nos.             (7)  Active Cross Over - 1 Nos.                                                                                                    (8) Microphones with Stand (Shure / Sennheiser or Equivalent) - 22 Nos.                                  (9) DI Box ( Behringer/ BSS/ Radial) - 8 Nos.                                                                                     (10) Cordless Microphones (Shure / Sennheiser or Equivalent) - 4 Nos.                                              (11) Audio Link 32 Channel - 1 Nos.                                                                                         (12) High Performance CD/DVD Player /Laptop - 1 Nos.                                                                       (13) 3 KVA UPS - 1 Nos.
(14) 1 KVA UPS – 2Nos.
(15) 2 Way Speakers – 4to6 Nos for  Stand By System.
</t>
  </si>
  <si>
    <t>1st Day/job</t>
  </si>
  <si>
    <t>11-5-7.</t>
  </si>
  <si>
    <r>
      <t xml:space="preserve">Hire charges for providing, erecting, testing &amp; commissioning </t>
    </r>
    <r>
      <rPr>
        <b/>
        <sz val="9"/>
        <color indexed="8"/>
        <rFont val="Times New Roman"/>
        <family val="1"/>
      </rPr>
      <t>public address system 6 to 8 pair 4 way/ 3 way Flying sound system</t>
    </r>
    <r>
      <rPr>
        <sz val="9"/>
        <color indexed="8"/>
        <rFont val="Times New Roman"/>
        <family val="1"/>
      </rPr>
      <t xml:space="preserve"> having proper distribution of sound through out the fixed area comprising of the following for  1.5 to 2.5 lakh sq.feet dome area. (For one day)                                                              (1) EAW KF740 / JBL VTX V20/RCF HDL20 / JBL VRX – 3WAY/2 WAY TOPS – 24to  36 Nos.   
(2) RCF / JBL Dual 18 Inch Sub Woofers - 6 Nos.                                                                           (3) 32/48 Channel Digital Console Inbuilt Effect Processor - 31 Band Equalizer - High Performance Pre Amp (Midas M32 / Behringer X32  or Equivalent) -  1 Nos.
(4) Backup / Stand by console – 1no ( Same or Equivalent Configuration Required)                                                                                                       (5) Stage Monitors (800 Watt) - 4 Nos.(JBL VRX 915/ RCF V35/ JBL SRX 712 or Equivalent)                                                                                                                                                (6) Side Fill Monitors (1000 Watt) - 2 Nos. ( JBL / BNC/ RCF or Equivalent) - 2 Nos.                                                     (7)  Active Cross Over - 1 Nos.                                                                                                    (8) Microphones with Stand (Shure / Sennheiser or Equivalent) - 22 Nos.                                  (9) DI Box ( Behringer/ BSS/ Radial) - 8 Nos.                                                                                     (10) Cordless Microphones (Shure / Sennheiser or Equivalent) - 4 Nos.                                              (11) Audio Link 32 Channel - 1 Nos.                                                                                         (12) High Performance CD/DVD Player /Laptop - 1 Nos.                                                                       (13) 3 KVA UPS - 1 Nos.
(14) 1 KVA UPS – 2Nos.
(15) 2 Way Speakers – 4to6 Nos for  Stand By System
</t>
    </r>
  </si>
  <si>
    <t>1st day/job</t>
  </si>
  <si>
    <t>11-5-8.</t>
  </si>
  <si>
    <t xml:space="preserve">Hire charges for providing, erecting, testing &amp; commissioning public address system 6 to 8 pair 4 way/ 3 way Flying sound system having proper distribution of sound through out the fixed area comprising of the following for  2.5 to 4.0 lakh sq.feet dome area.. (For one day)                                                              (1) EAW KF740 / JBL VTX V20/RCF HDL20 / JBL VRX – 3WAY/2 WAY TOPS – 36 to  50 Nos.   
(2) RCF / JBL Dual 18 Inch Sub Woofers - 6 Nos.                                                                           (3) 32/48 Channel Digital Console Inbuilt Effect Processor - 31 Band Equalizer - High Performance Pre Amp (Midas M32 / Behringer X32  or Equivalent) -  1 Nos.
(4) Backup / Stand by console – 1no ( Same or Equivalent Configuration Required)                                                                                                       (5) Stage Monitors (800 Watt) - 4 Nos.(JBL VRX 915/ RCF V35/ JBL SRX 712 or Equivalent)                                                                                                                                                (6) Side Fill Monitors (1000 Watt) - 2 Nos. ( JBL / BNC/ RCF or Equivalent) - 2 Nos.             (7)  Active Cross Over - 1 Nos.                                                                                                    (8) Microphones with Stand (Shure / Sennheiser or Equivalent) - 22 Nos.                                  (9) DI Box ( Behringer/ BSS/ Radial) - 8 Nos.                                                                                     (10) Cordless Microphones (Shure / Sennheiser or Equivalent) - 4 Nos.                                              (11) Audio Link 32 Channel - 1 Nos.                                                                                         (12) High Performance CD/DVD Player /Laptop - 1 Nos.                                                                       (13) 3 KVA UPS - 1 Nos.
(14) 1 KVA UPS – 2Nos.
(15) 2 Way Speakers – 4to6 Nos for  Stand By System
</t>
  </si>
  <si>
    <t>11-5-9.</t>
  </si>
  <si>
    <t xml:space="preserve">Additional Mid Top (15" inch Speaker&amp;2" HF) 1000 watt </t>
  </si>
  <si>
    <t>1 St.Day./NO</t>
  </si>
  <si>
    <t>11-5-10.</t>
  </si>
  <si>
    <t xml:space="preserve">Additional Base speaker (18"Speaker) 1000 Watt </t>
  </si>
  <si>
    <t>11-5-11.</t>
  </si>
  <si>
    <t>Additional Flying 2 Way Top (10 Inch Speakers and 2 HF)</t>
  </si>
  <si>
    <t>11-5-12.</t>
  </si>
  <si>
    <t>Additional Flying 3 Way Top (10/12/15 Inch Speakers and 2 HF)</t>
  </si>
  <si>
    <t>11-5-13.</t>
  </si>
  <si>
    <t xml:space="preserve">Additional Power Amplifiers ( QSC RMX 2450) </t>
  </si>
  <si>
    <t>11-5-14.</t>
  </si>
  <si>
    <t xml:space="preserve">Additional cordless microphone,  </t>
  </si>
  <si>
    <t>11-5-15.</t>
  </si>
  <si>
    <t xml:space="preserve">Additional collar / Button Mike </t>
  </si>
  <si>
    <t>11-5-16.</t>
  </si>
  <si>
    <t xml:space="preserve">Additional Microphone </t>
  </si>
  <si>
    <t>11-5-17.</t>
  </si>
  <si>
    <t xml:space="preserve">Additional Horn with units and matching transformer 8.45+1100=1945 </t>
  </si>
  <si>
    <t>11-5-18.</t>
  </si>
  <si>
    <t xml:space="preserve">Additional Cabinet Speaker with Hooper 5W x 650W </t>
  </si>
  <si>
    <t>11-5-19.</t>
  </si>
  <si>
    <t>Hire charges for providing and erecting the Iron Scaffold towers of size 5' x 5'-0" x 25'-0" (High) with necessary supports and cross arms with necessary accessories as per requirement on site for erection of horns and halogen fittings as directed   (For Two Days)</t>
  </si>
  <si>
    <t>1 St.Day./Job</t>
  </si>
  <si>
    <t>11-5-20.</t>
  </si>
  <si>
    <t>Hire charges for Bamboos to be erected  as directed up to length  5-0 mtr. (including  Transportation)</t>
  </si>
  <si>
    <t>11-5-21.</t>
  </si>
  <si>
    <t xml:space="preserve">Hire charges for providing, erecting  approved make 3.5KVA Inverter cum UPS system with   operating capacity for input 160-270 V AC &amp; inverter having output 230V 50Hz AC with 4 NOS 160 AH suitable voltage SMF batteries FOR 4 HRS BACKUP..  </t>
  </si>
  <si>
    <t>11-5-22.</t>
  </si>
  <si>
    <t xml:space="preserve">Hire charges for providing, erecting, Operating and dismantling the sound system for State Level Cultural Mega Event. Main Stage    Front House Sound system shall consist of Eight pairs of line array tops, accompanied by subs as prescribed by manufacturer.                                                                                                        (1) The array tops shall consist of dual 15" / 12”  Transducers of 1200 watts for low / low mid frequency, Four 8" transducers of 600 watts for reproduction of mids and two or three compression drivers couples to horns of 300 watts for reproduction of high frequency- L acoustics K2, Nexo STM, Das Aero 50, RCF-TT-55A, JBL Vertec-4889, EAW KF740 Only 90000 Watt Front of House 8 Pair (16 Nos.)                                                                               (2) 2000 Watt  with dual 18" Transducers for reproduction of Sub Woofers L Acoustics KS28, JBL 4880A, RCF 8006AS, EAW SB 1002/2001 Only. Front of House 6 Pair (12 Nos.)                            (3) Digital Mixing Console - Digi Design Venue SC48, Sound Craft VI-3000, DIGICO SD10, YAMAHA-CL5.                                                                                                                          (4) Stage Monitors (JBL VRX 915/ RCF V35/ JBL SRX 712 or Equivalent) 8 Nos.                   (5) Side Fill Monitors ( JBL / BNC/ RCF or Equivalent) - 2 pair 3 way .                                      (6) Cordless Microphones - 6 Nos.                                                                                               (7) Delay Stack shall consist of six pair Flying Line Array accompanied by prescribed no of Sub's Homogeneity in brands is compulsory Approx 50000 Watts. - 2 Nos. </t>
  </si>
  <si>
    <t>1 St.Day./job</t>
  </si>
  <si>
    <t>11-5-23.</t>
  </si>
  <si>
    <t>Hire Charges for providing, erecting, operating and dismentalling the sound system consisting of following items duly covered with copper core [For One Days]
1. 250W Audio Amplifier 55A 250W - 3 
Nos. 2. Horns with Units &amp; matching 
transformer - 6 Nos. 3. 12” Speaker box two way VS 300 - 4 Nos. 4. Microphone SM 58 - 6 Nos. 5. Microphone stand DGN - 6 Nos. 6. Tape recorder / CD play with C.D. - 1 No. 7. Voltage Stabilizer 3KVA - 1 No. 8. Cordless Microphone - 1 No.</t>
  </si>
  <si>
    <t>1stday/job</t>
  </si>
  <si>
    <t>11-5-24.</t>
  </si>
  <si>
    <t>Hire Charges for providing, erecting, operating and dismentalling the sound system consisting of following items duly covered with copper core [For One Days]
1. Power Amplifier QSE RM x 24500 - 
4 Nos. 2. 250W Audio Amplifier SSA - 250W - 2 Nos. 3. 500W EM Booster SPA 5000 EM Booster - 2 Nos. 4. Tape Recorder / CD Player with CD - 2 Nos. 5. Horn with units and matching 
Transformer 845 + 1100 = 1945 - 6 
Nos. 6. Cabinet speaker with woofer 5W x  650W - 8 Nos. 7. Microphone shure SM 58 - 8 Nos. 8. Microphone Stand (a) DGT 10 x 525.00 = 5250 - 2 Nos. (b) DGN 6 x 855 = 5130 - 6 Nos. 9. Voltage Servo Stabilizer 4 KVA - 1 Nos.
10. Audio Mixer 16 Channel - 1 No.
11. Effect Processor - 1 No.
12. Cord less microphone - 1 No.</t>
  </si>
  <si>
    <t>11-5-25</t>
  </si>
  <si>
    <t xml:space="preserve">Hire charges for providing, erecting, testing &amp; commissioning, operating, and dismentalling of  Main Console System for public address system for PM / PRESIDENT / VVIP FUNCTION 
Digital Mixing Console, DIGI Design Venus SC-48 / DIGICO SD10, ALLEN &amp; HEALTH D LIVE 7000, SOUND CRAFT VI 3000 , YAMAHA CL-5 - 2Nos.
FOH &amp; MOH Splitter(MIDAS DL431/ARX/WORLDWIND )-2 Nos for  Stand by Console-1 Nos.
Stage Monitors - 800 Watts -(JBL / VRX 915 / RCF V35 / JBL SRX 712 or Equi.) - 6 Nos. 
Side Files Monitors (100-200 Watts ) - JBL /BNC / RCF OR Equi - 2 Nos.
Mixer, Line out with Monitors (100-200 Watts ) - JBL /BNC / RCF or Equi. - 2 Nos. for Green Room area dome
Active Crossover - 2 Nos.
Microphone with stand ( SHURE / SENNIHEIZER OR Equi) - 22 Nos
Podium Microphones ( SHURE / SENNIHEIZER / DPA ) - 6 Nos.
DI BOX ( BEHRINGER / BSS / RADIAL ) - 8 Nos.
Cordless Microphones - ( SHURE / SENNIHEIZER OR EQUIVELENT ) - 04 Nos
AUDIO LINK 32 CHANNEL - 1 NOS.
High Performance CD/DVD player- 1 No., Laptop with AV in-output 1 No. for Recording and playing. 
3 KVA UPS  - 2 NOS. , &amp; 1 KVA UPS  - 3 NOS.
2 WAY Speakers for stand by system run on UPS - 4 Nos.
Rates are for One day of Working and one day before testing (Not including Rehearsal)
</t>
  </si>
  <si>
    <t>11-5-26</t>
  </si>
  <si>
    <t>Hire charges for providing, erecting, testing &amp; commissioning, operating, and dismentalling of main PA System for  public address system for PM / PRESIDENT / VVIP Function
L ACOUSTIC / MEYER SOUND / D&amp;B AUDIOTECHNICA / JBL / EAW  - 3 WAY TOPS - Pair of Six Nos.
and  SUB WOOFERS - Pair of 3 Nos.
Power Amplifier - 12Nos. for Above 
L ACOUSTIC/ JBL / EAW / D&amp;b / RCF HDL 20 / 2 WAY 1000 WATT FOR CENTRE FILL - 4 Tops with necessary Amplifiers. 
All necessary truss, control power conditioner protection panels, signal wiring with enough spare wires/cables with safe guard protection. 
Rates are for One day of Working and one day before testing (Not including Rehearsal)</t>
  </si>
  <si>
    <t>11-5-27</t>
  </si>
  <si>
    <t>Hire charges for providing, erecting, testing &amp; commissioning, operating, and dismentalling of  PAIR OF DE:AY STACK for public address system for PM / PRESIDENT / VVIP FUNCTION
RCF HDL 20 / JBL VRX / L ACOUSTIC / MEYER SOUND / D&amp;B AUDIOTECHNICA / JBL / EAW  - 2 WAY OR 3 Way Tops - pair of 3/4 Nos.
Power Amplifiers - 3 NOS
NECESSARY AMPLIFIER POWER SUPPLY PANNEL - 1 NOS
All necessary truss, control power conditioner protection panels, signal wiring with enough spare wires/cables with safe guard protection. 
Rates are for One day of Working and one day before testing (Not including Rehearsal)</t>
  </si>
  <si>
    <t>11-5-28</t>
  </si>
  <si>
    <t>Hire charges for providing, erecting, testing &amp; commissioning, operating, and dismentalling of Sound Console system for  public address system for CM/ VVIP FUNCTION 
32 Channel Digital Console in built effect processor,  3I Band Equalizer , High performance, PRE AMP (MIDAS M32 / BERHINGER X32 OR EQUIVELENT ) - 1 NOS.
Stage Monitors- 800 Watts (JBL / VRX 915 / RCF V35 / JBL SRX 712 OR EQUIVELENT) - 4 Nos. 
Side fills Monitors-100 WATTS (JBL /BNC / RCF OR EQUIVELENT) - 2 Nos.
Active Crossover - 1 Nos.
Microphones with stand (SHURE / SENNIHEIZER OR EQUIVELENT ) - 22 Nos
DI BOX ( BEHRINGER / BSS / RADIAL ) - 8 Nos.
High Quality Cordless microphones-(SHURE / SENNIHEIZER or equivalent.) - 04 Nos
Audio Link 32 Channel - 1 Nos.
High Performance CD/DVD player- 1 No., Laptop with AV in-output 1 No. for Recording and playing. 
2 KVA UPS  - 2 Nos.
All necessary, control, signal wiring with enough spare wires/cables with safe guard protection.
Rates are for One day of Working and one day before testing (Not including Rehearsal)</t>
  </si>
  <si>
    <t>11-5-29</t>
  </si>
  <si>
    <t>Hire charges for providing, erecting, testing &amp; commissioning, operating, and dismentalling of  public address system for CM/ VVIP FUNCTION  
RCF HDL 20 / JBL VRX - 2 WAY TOPS - Pair of 6 Nos.
RCF 8006 AS SUBS / JBL DUAL 18' SUB WOOFER - Pair of 3 Nos.
POWER AMLIFIER - 12 NOS
RCF HDL 20 / 2 WAY 1000 WATT FOR CENTRE FILL - 4 TOPS
NECESSARY AMPLIFIER POWER SUPPLY PANNEL - 3 NOS
All necessary truss, control, signal wiring with enough spare wires/cables with safe guard protection.
Rates are for One day of Working and one day before testing (Not including Rehearsal)</t>
  </si>
  <si>
    <t>SR. NO.</t>
  </si>
  <si>
    <t>Item Description</t>
  </si>
  <si>
    <t>SOR NO.</t>
  </si>
  <si>
    <t>Amount</t>
  </si>
  <si>
    <t>Quantity</t>
  </si>
  <si>
    <t>Name of Work</t>
  </si>
  <si>
    <t>ESTIMATE</t>
  </si>
  <si>
    <t>Total Rs.</t>
  </si>
  <si>
    <t>Say Rs.</t>
  </si>
  <si>
    <t>Executive Engineer</t>
  </si>
  <si>
    <t>Assistant Engineer</t>
  </si>
  <si>
    <t>Rate as Per RA</t>
  </si>
  <si>
    <t>Rate Analysis</t>
  </si>
  <si>
    <t>Name of 
 Work :-</t>
  </si>
  <si>
    <t>Sr.No</t>
  </si>
  <si>
    <t>Description of Item</t>
  </si>
  <si>
    <t>Per</t>
  </si>
  <si>
    <t>1</t>
  </si>
  <si>
    <t>:</t>
  </si>
  <si>
    <t>R&amp;B Department ,Vadodara</t>
  </si>
  <si>
    <t>Vadodara Elect Division</t>
  </si>
  <si>
    <t>18% GST</t>
  </si>
  <si>
    <t xml:space="preserve">    Vadodara Elect Division</t>
  </si>
  <si>
    <t xml:space="preserve">Executive Engineer </t>
  </si>
  <si>
    <t xml:space="preserve">Division                 </t>
  </si>
  <si>
    <t>Vadodara Electrical Division, Vadodara.</t>
  </si>
  <si>
    <t xml:space="preserve"> </t>
  </si>
  <si>
    <t xml:space="preserve">Fund Head              </t>
  </si>
  <si>
    <t xml:space="preserve">Major Head          </t>
  </si>
  <si>
    <t xml:space="preserve">Minor Head         </t>
  </si>
  <si>
    <t xml:space="preserve">Sub Head               </t>
  </si>
  <si>
    <r>
      <t xml:space="preserve">Administ. Approved Under </t>
    </r>
    <r>
      <rPr>
        <b/>
        <sz val="12"/>
        <rFont val="Arial"/>
        <family val="2"/>
      </rPr>
      <t xml:space="preserve"> </t>
    </r>
  </si>
  <si>
    <t xml:space="preserve">Technical Sanction Under </t>
  </si>
  <si>
    <t xml:space="preserve">Estimate Prepared by </t>
  </si>
  <si>
    <t>Smt. Shilpa Prajapati (A.E)</t>
  </si>
  <si>
    <t xml:space="preserve">Vadodara Elect. Sub Division, Vadodara.                              </t>
  </si>
  <si>
    <t xml:space="preserve">Estimate Checked by </t>
  </si>
  <si>
    <t xml:space="preserve">Vadodara Elect. Division, Vadodara.                              </t>
  </si>
  <si>
    <t xml:space="preserve">Call/Authority         </t>
  </si>
  <si>
    <t>General Description</t>
  </si>
  <si>
    <t>2075 VVIP/DEPOSIT/GRANTED</t>
  </si>
  <si>
    <t>letter of Colllector Ofice , Vadodara .o/w no. ADM/MYSE/ VASHI/152/2025 Dt: 16-01-2025</t>
  </si>
  <si>
    <t>(1st Day) Rate with 1%LC</t>
  </si>
  <si>
    <t>25% of 1st Day(rehersal)</t>
  </si>
  <si>
    <t>Total Rate</t>
  </si>
  <si>
    <t>Vadodara Elect. Sub Division</t>
  </si>
  <si>
    <t>Vadodara Elec. Sub Division</t>
  </si>
  <si>
    <t xml:space="preserve">Dy.Executive Engineer </t>
  </si>
  <si>
    <t>SOR Rate Rs.</t>
  </si>
  <si>
    <t>11-1-19.</t>
  </si>
  <si>
    <t>11-1-20/P.</t>
  </si>
  <si>
    <t xml:space="preserve">Hire charges for providing for temporary plug point with 5/15Amp plug switch combined, erected in wooden board complete </t>
  </si>
  <si>
    <t>11-1-20/P</t>
  </si>
  <si>
    <t>Providing Temporary EI with Standby DG Set for virtual P.M. Programme of property Card Distribution at BAPS Swaminarayan Temple at Dabhoi  Dist.Vadodara.</t>
  </si>
  <si>
    <t>2</t>
  </si>
  <si>
    <t>(A) D.P. Switch 16A/32A, 230V</t>
  </si>
  <si>
    <r>
      <t xml:space="preserve">                     Estimate framed in the office of the Executive Engineer, Vadodara Electrical Division,Vadodara, for the probable expenditure to be incurred in</t>
    </r>
    <r>
      <rPr>
        <b/>
        <sz val="12"/>
        <rFont val="Arial"/>
        <family val="2"/>
      </rPr>
      <t xml:space="preserve">  Providing Temporary EI with Standby DG Set for virtual P.M. Programme of property Card Distribution at BAPS Swaminarayan Temple at Dabhoi  Dist.Vadodara.</t>
    </r>
  </si>
  <si>
    <r>
      <t xml:space="preserve">                    This estimate is framed to meet with the probable cost of  Providing </t>
    </r>
    <r>
      <rPr>
        <b/>
        <sz val="12"/>
        <rFont val="Arial"/>
        <family val="2"/>
      </rPr>
      <t>Providing Temporary EI with Standby DG Set for virtual P.M. Programme of property Card Distribution at BAPS Swaminarayan Temple at Dabhoi  Dist.Vadodara.</t>
    </r>
  </si>
  <si>
    <t>Hire charges for providing erecting and dismantling after use in good running condition with necessary interconnecting wire/cable on panel board. (P) Distribution Boards 3 phase 440V 6A/32A  (i) 4 - 6 Way</t>
  </si>
  <si>
    <t>11-1-48.</t>
  </si>
  <si>
    <t>flood light</t>
  </si>
  <si>
    <t>11-1-25</t>
  </si>
  <si>
    <t>11-1-3</t>
  </si>
  <si>
    <t xml:space="preserve">Hire charges for providing erecting and dismantling temporary illumination consisting of the LED tube lights 22 watt minimum complete withlead wires </t>
  </si>
  <si>
    <t>'11-1-16</t>
  </si>
  <si>
    <t>Higher charges for providing erecting and Removing after use of good running condition 300 mm/ 400 mm size low noise oscillation type pedestal fan of good condition.</t>
  </si>
  <si>
    <t>'11-1-17</t>
  </si>
  <si>
    <t>Hire charges for providing, &amp; erecting and dismantling after use of good running condition 600mm/900mm heavy duty air-circulator pedestal type fan of good running condition.</t>
  </si>
  <si>
    <t>(P) Distribution Boards 3 phase 440V 6A/32A
       (i) 4 - 6 Way</t>
  </si>
  <si>
    <t>(Q) Distribution Boards 3 phase 440V 6A/32A
       (ii) 8-12 Way</t>
  </si>
  <si>
    <t>Hire charges for providing erecting and dismantling after use in good running condition.
Section pillar fabricated from 16 SWG thick M.S. Sheet with 40 x 40 x 6 mm thick angle iron legs with 12 mm thick bakelite / wooden sheet erected complete with following sizes 
(b) Section pillar having size 75 x 60 x 45</t>
  </si>
  <si>
    <t>11-1-49.</t>
  </si>
  <si>
    <t>Hire charges for providing  &amp; dismantling earth pit of minimum bore dia.150mm size approved make Earthing Electrode consisting Pipe-in-Pipe Technology as per IS 3043-1987 made of corrosion free G.I.Pipes  having Outer pipe  dia of 50mm having 80-200 Micron galvanizing, Inner pipe dia of 25 mm having 200-250 Micron galvanizing, connection terminal dia of 12mm with constant ohmic value surrounded by highly conductive compound with high charge dissipation suitable for following type of applications(a) For Electrical Installation up to 440V in normal soil
Length of pipe - 1 Mtr
Back filling compound - 1 Nos Bag of 15 Kg.</t>
  </si>
  <si>
    <t>(B) 63 Amps FP [Cat.II]</t>
  </si>
  <si>
    <t>Hire charges for providing, erecting with necessary connection and dismantling after user of good running Supplying &amp; erecting approved make Four Pole 415V change over switch interior for panel mounting with operating mechanism A.C. 23 duty confirming to I. S.S. for</t>
  </si>
  <si>
    <t>(D) 200 A  [Cat.II]</t>
  </si>
  <si>
    <t>11-01-31.</t>
  </si>
  <si>
    <t>Hire charges for Providing &amp; erecting weather proof, dust &amp; vermin proof  / floor  mounted Front operated outdoor type cubical Panel board having IP 64 protection  made from 14 SWG thick CRC MS sheet for outer body and doors, 16 SWG thick CRC MS Sheet for internal partition with neccessary supporting angles, flats including cutting.bending , drilling, welding revetting, with internal Partition and cable alley as per requirement &amp; instruction of Engineer in charge with  SUPPLY AND ERECTION OF  of following type switchgears /busbars with suitable size of inter connecting PVC copper wire/ copper strips,rubber grommets,rib,earth bus and earth bolt, foundation flange- bolts - base plates, sufficient Nos. of Hinged doors, handles with locking arrangement &amp;rubber gasket complete .The panel shall be painted with epoxy powder coating and have  Cu. Busbar strips
. Each bus bar should insulated  by color coded sleeve. WITH PHASE INDICATING Lamps--- Digital Multi function meter - Voltage, Amperes &amp; Frequency only) with CTs coils) Each panel will contain earth bus and earth bolts with danger notice board.</t>
  </si>
  <si>
    <t>Hire charges for440V A.C generating set following capacity with necessary fuel, mains, switchgears  &amp; accessories complete running on load / no load with acoustic sound proof enclosure etc as per requirement. With transportation charges up to 30 kms.</t>
  </si>
  <si>
    <t>led tube light</t>
  </si>
  <si>
    <t>pedestl type Fan low noise</t>
  </si>
  <si>
    <t>pedestl type Fan heeavy duty</t>
  </si>
  <si>
    <t>5/15Amp plug</t>
  </si>
  <si>
    <t>D.P. Switch 16A/32A</t>
  </si>
  <si>
    <t>Distribution Boards 3 phase 440V 6A/32A (i) 4 - 6 Way</t>
  </si>
  <si>
    <t xml:space="preserve">          (ii) 8-12 Way</t>
  </si>
  <si>
    <t xml:space="preserve">Section pillar fabricated 40 x 40 x 6 </t>
  </si>
  <si>
    <t>pipe type earthing</t>
  </si>
  <si>
    <t xml:space="preserve">Hire charges for providing, erecting &amp; dismantling after use of good running condition for PVC copper /Aluminium  wire mains with suitable copper PVC 1.5 / 2.5 Sq.mm earth wire of following size </t>
  </si>
  <si>
    <t>(A) 2 wire 1  /1.5  /  2.5 Sq.mm Copper</t>
  </si>
  <si>
    <t>(C) 2 wire 4 /6 Sq.mm Copper</t>
  </si>
  <si>
    <t>(I) 4 wire 10    Sq.mm  Copper</t>
  </si>
  <si>
    <t>Hire charges for providing erecting  as per direction of Engineer in charge dismantling after use of good running condition for temporary power supply the XLPE insulated armoured cable Aluminium conductor of following size.</t>
  </si>
  <si>
    <t>(B) 4 Core 4 / 6 / 10 Sq.mm</t>
  </si>
  <si>
    <t>(E) 3 1/2 Core 50 / 70 Sq.mm</t>
  </si>
  <si>
    <t>(A) 40 Amps FP [Cat.II]</t>
  </si>
  <si>
    <t>ELCB(A) 40 Amps FP [Cat.II]</t>
  </si>
  <si>
    <t>ELCB(B) 63 Amps FP [Cat.II]</t>
  </si>
  <si>
    <t>CHANGE OVER SWITCH(D) 200 A  [Cat.II]</t>
  </si>
  <si>
    <t>11-1-39</t>
  </si>
  <si>
    <t>Hire charges for providing erecting and dismantling after use of good running Tower type /Split type Air-Conditioning machine complete with erection gas charging etc.
(a) 1.5-2 ton for one day as per instruction of engineer.</t>
  </si>
  <si>
    <t>TOWER TYPE AC</t>
  </si>
  <si>
    <t>D.G. SET ( 125  KVA)</t>
  </si>
  <si>
    <t>5</t>
  </si>
  <si>
    <t>9</t>
  </si>
  <si>
    <t>6</t>
  </si>
  <si>
    <t>7</t>
  </si>
  <si>
    <t>8</t>
  </si>
  <si>
    <t>10</t>
  </si>
  <si>
    <t>11</t>
  </si>
  <si>
    <t>12</t>
  </si>
  <si>
    <t>13</t>
  </si>
  <si>
    <t>14</t>
  </si>
  <si>
    <t>15</t>
  </si>
  <si>
    <t>16</t>
  </si>
  <si>
    <t>17</t>
  </si>
  <si>
    <t>18</t>
  </si>
  <si>
    <t>19</t>
  </si>
  <si>
    <t>20</t>
  </si>
  <si>
    <t>21</t>
  </si>
  <si>
    <t>22</t>
  </si>
  <si>
    <t>23</t>
  </si>
  <si>
    <r>
      <t>Hire charges for LED Flood Light Fittings with High Power White LEDs wattage of 1 Watt and above assemble on single MCPCB, efficiency more than 130 Im/w and corrosion free high</t>
    </r>
    <r>
      <rPr>
        <sz val="20"/>
        <rFont val="Arial"/>
        <family val="2"/>
      </rPr>
      <t xml:space="preserve"> pr</t>
    </r>
    <r>
      <rPr>
        <sz val="20"/>
        <color indexed="8"/>
        <rFont val="Arial"/>
        <family val="2"/>
      </rPr>
      <t>essure die cast aluminium</t>
    </r>
    <r>
      <rPr>
        <sz val="20"/>
        <rFont val="Arial"/>
        <family val="2"/>
      </rPr>
      <t xml:space="preserve"> housing with smooth finish powder coated and </t>
    </r>
    <r>
      <rPr>
        <sz val="20"/>
        <color indexed="8"/>
        <rFont val="Arial"/>
        <family val="2"/>
      </rPr>
      <t>heat sink extruded aluminium with diffuser and Polycarbonate optics/lenses w</t>
    </r>
    <r>
      <rPr>
        <sz val="20"/>
        <rFont val="Arial"/>
        <family val="2"/>
      </rPr>
      <t>ith company mark/name engraved or embossed 120 to 300 V, Power factor more than 0.95, THD&lt;10%, CCT 5000 K to 5700K, Uniformity ratio &gt;0.45, Luminaire efficiency &gt; 85 Lumens/Watt, LED driver efficiency &gt;85%. CREE/OSRAM/PHILLIPS Lumileds /NICHIA/SEOUL/BridgeLux(U.S.A) make LED used for luminaire. (Each fitting required LM-79 &amp; LM-80 Certificates) (B) Flood Light (IP-65), Surge -4KV ( e ) Above 150 watts to 240 watts Cat-III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</si>
</sst>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Red]0.00"/>
  </numFmts>
  <fonts count="49" x14ac:knownFonts="1">
    <font>
      <sz val="11"/>
      <color theme="1"/>
      <name val="Calibri"/>
      <family val="2"/>
      <scheme val="minor"/>
    </font>
    <font>
      <sz val="11"/>
      <color theme="1"/>
      <name val="Calibri"/>
      <family val="2"/>
      <scheme val="minor"/>
    </font>
    <font>
      <sz val="10"/>
      <name val="Arial"/>
      <family val="2"/>
    </font>
    <font>
      <b/>
      <sz val="16"/>
      <color rgb="FF000000"/>
      <name val="Times New Roman"/>
      <family val="1"/>
    </font>
    <font>
      <b/>
      <sz val="14"/>
      <color indexed="8"/>
      <name val="Times New Roman"/>
      <family val="1"/>
    </font>
    <font>
      <b/>
      <sz val="16"/>
      <color indexed="8"/>
      <name val="Times New Roman"/>
      <family val="1"/>
    </font>
    <font>
      <sz val="12"/>
      <color indexed="8"/>
      <name val="Times New Roman"/>
      <family val="1"/>
    </font>
    <font>
      <sz val="12"/>
      <color rgb="FF000000"/>
      <name val="Times New Roman"/>
      <family val="1"/>
    </font>
    <font>
      <b/>
      <sz val="12"/>
      <color indexed="8"/>
      <name val="Times New Roman"/>
      <family val="1"/>
    </font>
    <font>
      <sz val="11"/>
      <color indexed="8"/>
      <name val="Times New Roman"/>
      <family val="1"/>
    </font>
    <font>
      <sz val="12"/>
      <name val="Times New Roman"/>
      <family val="1"/>
    </font>
    <font>
      <b/>
      <sz val="12"/>
      <name val="Times New Roman"/>
      <family val="1"/>
    </font>
    <font>
      <b/>
      <sz val="9"/>
      <name val="Times New Roman"/>
      <family val="1"/>
    </font>
    <font>
      <sz val="10"/>
      <name val="Times New Roman"/>
      <family val="1"/>
    </font>
    <font>
      <sz val="11"/>
      <color rgb="FF000000"/>
      <name val="Times New Roman"/>
      <family val="1"/>
    </font>
    <font>
      <b/>
      <sz val="11"/>
      <color indexed="8"/>
      <name val="Times New Roman"/>
      <family val="1"/>
    </font>
    <font>
      <b/>
      <sz val="11"/>
      <color indexed="8"/>
      <name val="Arial"/>
      <family val="2"/>
    </font>
    <font>
      <b/>
      <sz val="12"/>
      <color rgb="FF000000"/>
      <name val="Times New Roman"/>
      <family val="1"/>
    </font>
    <font>
      <b/>
      <sz val="18"/>
      <color indexed="8"/>
      <name val="Times New Roman"/>
      <family val="1"/>
    </font>
    <font>
      <sz val="11"/>
      <name val="Times New Roman"/>
      <family val="1"/>
    </font>
    <font>
      <b/>
      <sz val="20"/>
      <color indexed="8"/>
      <name val="Times New Roman"/>
      <family val="1"/>
    </font>
    <font>
      <b/>
      <sz val="18"/>
      <name val="Times New Roman"/>
      <family val="1"/>
    </font>
    <font>
      <sz val="8"/>
      <color rgb="FF000000"/>
      <name val="Times New Roman"/>
      <family val="1"/>
    </font>
    <font>
      <sz val="10"/>
      <color indexed="8"/>
      <name val="Times New Roman"/>
      <family val="1"/>
    </font>
    <font>
      <sz val="9"/>
      <color indexed="8"/>
      <name val="Times New Roman"/>
      <family val="1"/>
    </font>
    <font>
      <sz val="9"/>
      <color rgb="FF000000"/>
      <name val="Times New Roman"/>
      <family val="1"/>
    </font>
    <font>
      <b/>
      <sz val="9"/>
      <color indexed="8"/>
      <name val="Times New Roman"/>
      <family val="1"/>
    </font>
    <font>
      <sz val="10"/>
      <color rgb="FF000000"/>
      <name val="Times New Roman"/>
      <family val="1"/>
    </font>
    <font>
      <sz val="9"/>
      <name val="Times New Roman"/>
      <family val="1"/>
    </font>
    <font>
      <sz val="8"/>
      <color theme="1"/>
      <name val="Calibri"/>
      <family val="2"/>
      <scheme val="minor"/>
    </font>
    <font>
      <sz val="11"/>
      <color theme="1"/>
      <name val="Times New Roman"/>
      <family val="1"/>
    </font>
    <font>
      <sz val="10"/>
      <color theme="1"/>
      <name val="Calibri"/>
      <family val="2"/>
      <scheme val="minor"/>
    </font>
    <font>
      <b/>
      <sz val="14"/>
      <name val="Arial"/>
      <family val="2"/>
    </font>
    <font>
      <sz val="10"/>
      <name val="Arial"/>
      <family val="2"/>
    </font>
    <font>
      <b/>
      <sz val="10"/>
      <name val="Arial"/>
      <family val="2"/>
    </font>
    <font>
      <sz val="12"/>
      <name val="Arial"/>
      <family val="2"/>
    </font>
    <font>
      <b/>
      <sz val="12"/>
      <name val="Arial"/>
      <family val="2"/>
    </font>
    <font>
      <b/>
      <sz val="22"/>
      <name val="Arial"/>
      <family val="2"/>
    </font>
    <font>
      <sz val="16"/>
      <name val="Arial"/>
      <family val="2"/>
    </font>
    <font>
      <sz val="10"/>
      <color rgb="FF000000"/>
      <name val="Arial"/>
      <family val="2"/>
    </font>
    <font>
      <b/>
      <u/>
      <sz val="16"/>
      <name val="Arial"/>
      <family val="2"/>
    </font>
    <font>
      <sz val="14"/>
      <name val="Arial"/>
      <family val="2"/>
    </font>
    <font>
      <b/>
      <sz val="16"/>
      <name val="Arial"/>
      <family val="2"/>
    </font>
    <font>
      <b/>
      <sz val="18"/>
      <name val="Arial"/>
      <family val="2"/>
    </font>
    <font>
      <sz val="11"/>
      <color indexed="8"/>
      <name val="Calibri"/>
      <family val="2"/>
    </font>
    <font>
      <b/>
      <sz val="12"/>
      <color theme="1"/>
      <name val="Arial"/>
      <family val="2"/>
    </font>
    <font>
      <sz val="18"/>
      <name val="Arial"/>
      <family val="2"/>
    </font>
    <font>
      <sz val="20"/>
      <name val="Arial"/>
      <family val="2"/>
    </font>
    <font>
      <sz val="20"/>
      <color indexed="8"/>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dashed">
        <color theme="8"/>
      </left>
      <right style="dashed">
        <color theme="8"/>
      </right>
      <top style="dashed">
        <color theme="8"/>
      </top>
      <bottom style="dashed">
        <color theme="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1">
    <xf numFmtId="0" fontId="0" fillId="0" borderId="0"/>
    <xf numFmtId="0" fontId="2" fillId="0" borderId="0"/>
    <xf numFmtId="0" fontId="3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39" fillId="0" borderId="0"/>
    <xf numFmtId="0" fontId="1" fillId="0" borderId="0"/>
    <xf numFmtId="0" fontId="33"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44" fillId="0" borderId="0"/>
  </cellStyleXfs>
  <cellXfs count="179">
    <xf numFmtId="0" fontId="0" fillId="0" borderId="0" xfId="0"/>
    <xf numFmtId="0" fontId="2" fillId="0" borderId="0" xfId="1"/>
    <xf numFmtId="0" fontId="5" fillId="2" borderId="1" xfId="1" applyFont="1" applyFill="1" applyBorder="1" applyAlignment="1">
      <alignment horizontal="center" vertical="center" wrapText="1"/>
    </xf>
    <xf numFmtId="0" fontId="6" fillId="3" borderId="1" xfId="1" quotePrefix="1" applyFont="1" applyFill="1" applyBorder="1" applyAlignment="1">
      <alignment horizontal="center" vertical="center" wrapText="1"/>
    </xf>
    <xf numFmtId="0" fontId="7" fillId="2" borderId="1" xfId="1" applyFont="1" applyFill="1" applyBorder="1" applyAlignment="1">
      <alignment horizontal="justify" vertical="top" wrapText="1"/>
    </xf>
    <xf numFmtId="0" fontId="6" fillId="2" borderId="1" xfId="1" applyFont="1" applyFill="1" applyBorder="1" applyAlignment="1">
      <alignment horizontal="justify" vertical="center" wrapText="1"/>
    </xf>
    <xf numFmtId="2" fontId="6" fillId="2" borderId="1" xfId="1" applyNumberFormat="1" applyFont="1" applyFill="1" applyBorder="1" applyAlignment="1">
      <alignment horizontal="center" vertical="center" wrapText="1"/>
    </xf>
    <xf numFmtId="2" fontId="6" fillId="2" borderId="1" xfId="1" applyNumberFormat="1" applyFont="1" applyFill="1" applyBorder="1" applyAlignment="1">
      <alignment horizontal="center" vertical="center"/>
    </xf>
    <xf numFmtId="0" fontId="6" fillId="2" borderId="1" xfId="1" applyFont="1" applyFill="1" applyBorder="1" applyAlignment="1">
      <alignment horizontal="center" vertical="center" wrapText="1"/>
    </xf>
    <xf numFmtId="0" fontId="6" fillId="2" borderId="1" xfId="1" applyFont="1" applyFill="1" applyBorder="1" applyAlignment="1">
      <alignment horizontal="justify" vertical="top" wrapText="1"/>
    </xf>
    <xf numFmtId="0" fontId="9" fillId="2" borderId="1" xfId="1" applyFont="1" applyFill="1" applyBorder="1" applyAlignment="1">
      <alignment horizontal="center" vertical="center" wrapText="1"/>
    </xf>
    <xf numFmtId="2" fontId="9" fillId="2" borderId="1" xfId="1" applyNumberFormat="1" applyFont="1" applyFill="1" applyBorder="1" applyAlignment="1">
      <alignment horizontal="center" vertical="center"/>
    </xf>
    <xf numFmtId="0" fontId="9" fillId="2" borderId="1" xfId="1" applyFont="1" applyFill="1" applyBorder="1" applyAlignment="1">
      <alignment horizontal="center" vertical="center"/>
    </xf>
    <xf numFmtId="0" fontId="10" fillId="2" borderId="1" xfId="1" applyFont="1" applyFill="1" applyBorder="1" applyAlignment="1">
      <alignment horizontal="justify" vertical="top" wrapText="1"/>
    </xf>
    <xf numFmtId="165" fontId="12" fillId="2" borderId="1" xfId="1" applyNumberFormat="1" applyFont="1" applyFill="1" applyBorder="1" applyAlignment="1">
      <alignment horizontal="center" vertical="center" wrapText="1"/>
    </xf>
    <xf numFmtId="0" fontId="10" fillId="3" borderId="1" xfId="1" quotePrefix="1" applyFont="1" applyFill="1" applyBorder="1" applyAlignment="1">
      <alignment horizontal="center" vertical="center" wrapText="1"/>
    </xf>
    <xf numFmtId="0" fontId="10" fillId="2" borderId="1" xfId="1" applyFont="1" applyFill="1" applyBorder="1" applyAlignment="1">
      <alignment horizontal="justify" vertical="center" wrapText="1"/>
    </xf>
    <xf numFmtId="2" fontId="10" fillId="2" borderId="1" xfId="1" applyNumberFormat="1" applyFont="1" applyFill="1" applyBorder="1" applyAlignment="1">
      <alignment horizontal="center" vertical="center" wrapText="1"/>
    </xf>
    <xf numFmtId="2" fontId="10" fillId="2" borderId="1" xfId="1" applyNumberFormat="1" applyFont="1" applyFill="1" applyBorder="1" applyAlignment="1">
      <alignment horizontal="center" vertical="center"/>
    </xf>
    <xf numFmtId="0" fontId="10" fillId="3" borderId="1" xfId="1" applyFont="1" applyFill="1" applyBorder="1" applyAlignment="1">
      <alignment horizontal="center" vertical="center" wrapText="1"/>
    </xf>
    <xf numFmtId="0" fontId="11" fillId="2" borderId="1" xfId="1" applyFont="1" applyFill="1" applyBorder="1" applyAlignment="1">
      <alignment horizontal="justify" vertical="top" wrapText="1"/>
    </xf>
    <xf numFmtId="0" fontId="10" fillId="2" borderId="1" xfId="1" applyFont="1" applyFill="1" applyBorder="1" applyAlignment="1">
      <alignment horizontal="center" vertical="center"/>
    </xf>
    <xf numFmtId="0" fontId="13" fillId="2" borderId="1" xfId="1" applyFont="1" applyFill="1" applyBorder="1" applyAlignment="1">
      <alignment vertical="top"/>
    </xf>
    <xf numFmtId="0" fontId="13" fillId="2" borderId="1" xfId="1" applyFont="1" applyFill="1" applyBorder="1" applyAlignment="1">
      <alignment vertical="center" wrapText="1"/>
    </xf>
    <xf numFmtId="0" fontId="13" fillId="2" borderId="1" xfId="1" applyFont="1" applyFill="1" applyBorder="1"/>
    <xf numFmtId="2" fontId="13" fillId="2" borderId="1" xfId="1" applyNumberFormat="1" applyFont="1" applyFill="1" applyBorder="1"/>
    <xf numFmtId="14" fontId="6" fillId="2" borderId="1" xfId="1" applyNumberFormat="1" applyFont="1" applyFill="1" applyBorder="1" applyAlignment="1">
      <alignment horizontal="center" vertical="center" wrapText="1"/>
    </xf>
    <xf numFmtId="0" fontId="14" fillId="2" borderId="1" xfId="1" applyFont="1" applyFill="1" applyBorder="1" applyAlignment="1">
      <alignment horizontal="justify" vertical="top" wrapText="1"/>
    </xf>
    <xf numFmtId="0" fontId="8" fillId="2" borderId="1" xfId="1" applyFont="1" applyFill="1" applyBorder="1" applyAlignment="1">
      <alignment horizontal="center" vertical="center" wrapText="1"/>
    </xf>
    <xf numFmtId="0" fontId="8" fillId="2" borderId="1" xfId="1" applyFont="1" applyFill="1" applyBorder="1" applyAlignment="1">
      <alignment horizontal="justify" vertical="top" wrapText="1"/>
    </xf>
    <xf numFmtId="0" fontId="8" fillId="2" borderId="1" xfId="1" applyFont="1" applyFill="1" applyBorder="1" applyAlignment="1">
      <alignment horizontal="justify" vertical="center" wrapText="1"/>
    </xf>
    <xf numFmtId="2" fontId="16" fillId="0" borderId="2" xfId="1" applyNumberFormat="1" applyFont="1" applyBorder="1" applyAlignment="1">
      <alignment horizontal="center" vertical="center" wrapText="1"/>
    </xf>
    <xf numFmtId="2" fontId="8" fillId="2" borderId="1" xfId="1" applyNumberFormat="1" applyFont="1" applyFill="1" applyBorder="1" applyAlignment="1">
      <alignment horizontal="center" vertical="center" wrapText="1"/>
    </xf>
    <xf numFmtId="2" fontId="8" fillId="2" borderId="1" xfId="1" applyNumberFormat="1" applyFont="1" applyFill="1" applyBorder="1" applyAlignment="1">
      <alignment horizontal="center" vertical="center"/>
    </xf>
    <xf numFmtId="0" fontId="17" fillId="2" borderId="1" xfId="1" applyFont="1" applyFill="1" applyBorder="1" applyAlignment="1">
      <alignment horizontal="justify" vertical="top" wrapText="1"/>
    </xf>
    <xf numFmtId="0" fontId="7" fillId="2" borderId="1" xfId="1" applyFont="1" applyFill="1" applyBorder="1" applyAlignment="1">
      <alignment vertical="top" wrapText="1"/>
    </xf>
    <xf numFmtId="0" fontId="7" fillId="2" borderId="1" xfId="1" applyFont="1" applyFill="1" applyBorder="1" applyAlignment="1">
      <alignment horizontal="left" vertical="top" wrapText="1"/>
    </xf>
    <xf numFmtId="165" fontId="8" fillId="2" borderId="1" xfId="1" applyNumberFormat="1" applyFont="1" applyFill="1" applyBorder="1" applyAlignment="1">
      <alignment horizontal="center" vertical="top" wrapText="1"/>
    </xf>
    <xf numFmtId="2" fontId="8" fillId="2" borderId="1" xfId="1" applyNumberFormat="1" applyFont="1" applyFill="1" applyBorder="1" applyAlignment="1">
      <alignment horizontal="center" vertical="top" wrapText="1"/>
    </xf>
    <xf numFmtId="0" fontId="6" fillId="2" borderId="1" xfId="1" applyFont="1" applyFill="1" applyBorder="1" applyAlignment="1">
      <alignment horizontal="left" vertical="top" wrapText="1"/>
    </xf>
    <xf numFmtId="14" fontId="6" fillId="3" borderId="1" xfId="1" quotePrefix="1" applyNumberFormat="1" applyFont="1" applyFill="1" applyBorder="1" applyAlignment="1">
      <alignment horizontal="center" vertical="center" wrapText="1"/>
    </xf>
    <xf numFmtId="0" fontId="6" fillId="2" borderId="1" xfId="1" applyFont="1" applyFill="1" applyBorder="1" applyAlignment="1">
      <alignment horizontal="center" vertical="center"/>
    </xf>
    <xf numFmtId="0" fontId="6" fillId="2" borderId="1" xfId="1" applyFont="1" applyFill="1" applyBorder="1" applyAlignment="1">
      <alignment vertical="top" wrapText="1"/>
    </xf>
    <xf numFmtId="49" fontId="6" fillId="3" borderId="1" xfId="1" quotePrefix="1" applyNumberFormat="1" applyFont="1" applyFill="1" applyBorder="1" applyAlignment="1">
      <alignment horizontal="center" vertical="center" wrapText="1"/>
    </xf>
    <xf numFmtId="2" fontId="6" fillId="2" borderId="1" xfId="1" applyNumberFormat="1" applyFont="1" applyFill="1" applyBorder="1" applyAlignment="1">
      <alignment horizontal="right" vertical="center" wrapText="1"/>
    </xf>
    <xf numFmtId="49" fontId="6" fillId="2" borderId="1" xfId="1" applyNumberFormat="1" applyFont="1" applyFill="1" applyBorder="1" applyAlignment="1">
      <alignment horizontal="center" vertical="center" wrapText="1"/>
    </xf>
    <xf numFmtId="165" fontId="6" fillId="2" borderId="1" xfId="1" applyNumberFormat="1" applyFont="1" applyFill="1" applyBorder="1" applyAlignment="1">
      <alignment horizontal="center" vertical="center" wrapText="1"/>
    </xf>
    <xf numFmtId="165" fontId="6" fillId="2" borderId="1" xfId="1" applyNumberFormat="1" applyFont="1" applyFill="1" applyBorder="1" applyAlignment="1">
      <alignment vertical="center"/>
    </xf>
    <xf numFmtId="0" fontId="10" fillId="0" borderId="1" xfId="1" applyFont="1" applyBorder="1" applyAlignment="1">
      <alignment vertical="top" wrapText="1"/>
    </xf>
    <xf numFmtId="0" fontId="19" fillId="0" borderId="1" xfId="1" applyFont="1" applyBorder="1" applyAlignment="1">
      <alignment horizontal="center" vertical="center" wrapText="1"/>
    </xf>
    <xf numFmtId="2" fontId="10" fillId="0" borderId="1" xfId="1" applyNumberFormat="1" applyFont="1" applyBorder="1" applyAlignment="1">
      <alignment horizontal="center" vertical="center" wrapText="1"/>
    </xf>
    <xf numFmtId="0" fontId="7" fillId="0" borderId="1" xfId="1" applyFont="1" applyBorder="1" applyAlignment="1">
      <alignment vertical="top" wrapText="1"/>
    </xf>
    <xf numFmtId="0" fontId="9" fillId="0" borderId="1" xfId="1" applyFont="1" applyBorder="1" applyAlignment="1">
      <alignment horizontal="center" vertical="center" wrapText="1"/>
    </xf>
    <xf numFmtId="2" fontId="6" fillId="0" borderId="1" xfId="1" applyNumberFormat="1" applyFont="1" applyBorder="1" applyAlignment="1">
      <alignment horizontal="center" vertical="center" wrapText="1"/>
    </xf>
    <xf numFmtId="14" fontId="10" fillId="2" borderId="1" xfId="1" applyNumberFormat="1" applyFont="1" applyFill="1" applyBorder="1" applyAlignment="1">
      <alignment horizontal="center" vertical="center"/>
    </xf>
    <xf numFmtId="0" fontId="10" fillId="2" borderId="1" xfId="1" applyFont="1" applyFill="1" applyBorder="1" applyAlignment="1">
      <alignment vertical="top" wrapText="1"/>
    </xf>
    <xf numFmtId="0" fontId="10" fillId="2" borderId="1" xfId="1" applyFont="1" applyFill="1" applyBorder="1" applyAlignment="1">
      <alignment vertical="top"/>
    </xf>
    <xf numFmtId="2" fontId="10" fillId="2" borderId="1" xfId="1" applyNumberFormat="1" applyFont="1" applyFill="1" applyBorder="1" applyAlignment="1">
      <alignment vertical="top"/>
    </xf>
    <xf numFmtId="0" fontId="6" fillId="2" borderId="1" xfId="1" applyFont="1" applyFill="1" applyBorder="1" applyAlignment="1">
      <alignment horizontal="center" vertical="top" wrapText="1"/>
    </xf>
    <xf numFmtId="2" fontId="10" fillId="2" borderId="1" xfId="1" applyNumberFormat="1" applyFont="1" applyFill="1" applyBorder="1" applyAlignment="1">
      <alignment horizontal="center" vertical="top" wrapText="1"/>
    </xf>
    <xf numFmtId="0" fontId="14" fillId="0" borderId="1" xfId="1" applyFont="1" applyBorder="1" applyAlignment="1">
      <alignment horizontal="justify" vertical="top" wrapText="1"/>
    </xf>
    <xf numFmtId="0" fontId="6" fillId="0" borderId="1" xfId="1" applyFont="1" applyBorder="1" applyAlignment="1">
      <alignment horizontal="justify" vertical="center" wrapText="1"/>
    </xf>
    <xf numFmtId="2" fontId="6" fillId="0" borderId="1" xfId="1" applyNumberFormat="1" applyFont="1" applyBorder="1" applyAlignment="1">
      <alignment horizontal="center" vertical="center"/>
    </xf>
    <xf numFmtId="0" fontId="10" fillId="2" borderId="3" xfId="1" applyFont="1" applyFill="1" applyBorder="1" applyAlignment="1">
      <alignment vertical="center"/>
    </xf>
    <xf numFmtId="0" fontId="22" fillId="0" borderId="4" xfId="1" applyFont="1" applyBorder="1" applyAlignment="1">
      <alignment vertical="top" wrapText="1"/>
    </xf>
    <xf numFmtId="0" fontId="6" fillId="0" borderId="1" xfId="1" applyFont="1" applyBorder="1" applyAlignment="1">
      <alignment vertical="center" wrapText="1"/>
    </xf>
    <xf numFmtId="2" fontId="6" fillId="0" borderId="1" xfId="1" applyNumberFormat="1" applyFont="1" applyBorder="1" applyAlignment="1">
      <alignment vertical="center" wrapText="1"/>
    </xf>
    <xf numFmtId="2" fontId="6" fillId="0" borderId="1" xfId="1" applyNumberFormat="1" applyFont="1" applyBorder="1" applyAlignment="1">
      <alignment vertical="center"/>
    </xf>
    <xf numFmtId="0" fontId="10" fillId="2" borderId="1" xfId="1" applyFont="1" applyFill="1" applyBorder="1" applyAlignment="1">
      <alignment vertical="center"/>
    </xf>
    <xf numFmtId="0" fontId="23" fillId="0" borderId="1" xfId="1" applyFont="1" applyBorder="1" applyAlignment="1">
      <alignment vertical="top" wrapText="1"/>
    </xf>
    <xf numFmtId="0" fontId="6" fillId="0" borderId="1" xfId="1" applyFont="1" applyBorder="1" applyAlignment="1">
      <alignment horizontal="justify" wrapText="1"/>
    </xf>
    <xf numFmtId="0" fontId="23" fillId="0" borderId="1" xfId="1" applyFont="1" applyBorder="1" applyAlignment="1">
      <alignment horizontal="justify" vertical="center" wrapText="1"/>
    </xf>
    <xf numFmtId="2" fontId="23" fillId="0" borderId="1" xfId="1" applyNumberFormat="1" applyFont="1" applyBorder="1" applyAlignment="1">
      <alignment horizontal="center" vertical="center" wrapText="1"/>
    </xf>
    <xf numFmtId="2" fontId="23" fillId="0" borderId="1" xfId="1" applyNumberFormat="1" applyFont="1" applyBorder="1" applyAlignment="1">
      <alignment horizontal="center" vertical="center"/>
    </xf>
    <xf numFmtId="14" fontId="10" fillId="2" borderId="1" xfId="1" applyNumberFormat="1" applyFont="1" applyFill="1" applyBorder="1" applyAlignment="1">
      <alignment vertical="center"/>
    </xf>
    <xf numFmtId="0" fontId="24" fillId="0" borderId="1" xfId="1" applyFont="1" applyBorder="1" applyAlignment="1">
      <alignment vertical="top" wrapText="1"/>
    </xf>
    <xf numFmtId="0" fontId="23" fillId="0" borderId="1" xfId="1" applyFont="1" applyBorder="1" applyAlignment="1">
      <alignment vertical="center" wrapText="1"/>
    </xf>
    <xf numFmtId="2" fontId="23" fillId="3" borderId="1" xfId="1" applyNumberFormat="1" applyFont="1" applyFill="1" applyBorder="1" applyAlignment="1">
      <alignment vertical="center" wrapText="1"/>
    </xf>
    <xf numFmtId="2" fontId="23" fillId="3" borderId="1" xfId="1" applyNumberFormat="1" applyFont="1" applyFill="1" applyBorder="1" applyAlignment="1">
      <alignment vertical="center"/>
    </xf>
    <xf numFmtId="0" fontId="10" fillId="2" borderId="3" xfId="1" applyFont="1" applyFill="1" applyBorder="1" applyAlignment="1">
      <alignment horizontal="center" vertical="center"/>
    </xf>
    <xf numFmtId="0" fontId="22" fillId="0" borderId="3" xfId="1" applyFont="1" applyBorder="1" applyAlignment="1">
      <alignment vertical="top" wrapText="1"/>
    </xf>
    <xf numFmtId="0" fontId="25" fillId="0" borderId="1" xfId="1" applyFont="1" applyBorder="1" applyAlignment="1">
      <alignment vertical="top" wrapText="1"/>
    </xf>
    <xf numFmtId="0" fontId="6" fillId="0" borderId="1" xfId="1" applyFont="1" applyBorder="1" applyAlignment="1">
      <alignment horizontal="justify" vertical="center"/>
    </xf>
    <xf numFmtId="0" fontId="27" fillId="0" borderId="1" xfId="1" applyFont="1" applyBorder="1" applyAlignment="1">
      <alignment vertical="center"/>
    </xf>
    <xf numFmtId="0" fontId="10" fillId="0" borderId="1" xfId="1" applyFont="1" applyBorder="1" applyAlignment="1">
      <alignment horizontal="justify" vertical="center"/>
    </xf>
    <xf numFmtId="0" fontId="28" fillId="0" borderId="3" xfId="1" applyFont="1" applyBorder="1" applyAlignment="1">
      <alignment vertical="top" wrapText="1"/>
    </xf>
    <xf numFmtId="0" fontId="9" fillId="0" borderId="1" xfId="1" applyFont="1" applyBorder="1" applyAlignment="1">
      <alignment vertical="center" wrapText="1"/>
    </xf>
    <xf numFmtId="2" fontId="9" fillId="0" borderId="1" xfId="1" applyNumberFormat="1" applyFont="1" applyBorder="1" applyAlignment="1">
      <alignment vertical="center"/>
    </xf>
    <xf numFmtId="0" fontId="10" fillId="0" borderId="1" xfId="1" applyFont="1" applyBorder="1" applyAlignment="1">
      <alignment vertical="center" wrapText="1"/>
    </xf>
    <xf numFmtId="2" fontId="10" fillId="0" borderId="1" xfId="1" applyNumberFormat="1" applyFont="1" applyBorder="1" applyAlignment="1">
      <alignment vertical="center"/>
    </xf>
    <xf numFmtId="0" fontId="10" fillId="3" borderId="1" xfId="1" quotePrefix="1" applyFont="1" applyFill="1" applyBorder="1" applyAlignment="1">
      <alignment horizontal="center" vertical="center"/>
    </xf>
    <xf numFmtId="0" fontId="29" fillId="0" borderId="1" xfId="1" applyFont="1" applyBorder="1" applyAlignment="1">
      <alignment vertical="top" wrapText="1"/>
    </xf>
    <xf numFmtId="2" fontId="19" fillId="0" borderId="1" xfId="1" applyNumberFormat="1" applyFont="1" applyBorder="1" applyAlignment="1">
      <alignment vertical="center"/>
    </xf>
    <xf numFmtId="2" fontId="30" fillId="0" borderId="1" xfId="1" applyNumberFormat="1" applyFont="1" applyBorder="1" applyAlignment="1">
      <alignment vertical="center"/>
    </xf>
    <xf numFmtId="0" fontId="1" fillId="0" borderId="1" xfId="1" applyFont="1" applyBorder="1" applyAlignment="1">
      <alignment horizontal="justify" vertical="top" wrapText="1"/>
    </xf>
    <xf numFmtId="0" fontId="31" fillId="0" borderId="1" xfId="1" applyFont="1" applyBorder="1" applyAlignment="1">
      <alignment horizontal="justify" vertical="top" wrapText="1"/>
    </xf>
    <xf numFmtId="0" fontId="2" fillId="0" borderId="0" xfId="1" applyAlignment="1">
      <alignment horizontal="center"/>
    </xf>
    <xf numFmtId="0" fontId="36" fillId="0" borderId="0" xfId="1" applyFont="1"/>
    <xf numFmtId="2" fontId="42" fillId="0" borderId="0" xfId="1" applyNumberFormat="1" applyFont="1" applyAlignment="1">
      <alignment horizontal="center"/>
    </xf>
    <xf numFmtId="0" fontId="35" fillId="0" borderId="0" xfId="1" applyFont="1" applyAlignment="1">
      <alignment horizontal="center"/>
    </xf>
    <xf numFmtId="0" fontId="35" fillId="0" borderId="0" xfId="1" applyFont="1"/>
    <xf numFmtId="0" fontId="36" fillId="0" borderId="0" xfId="1" applyFont="1" applyAlignment="1">
      <alignment horizontal="right"/>
    </xf>
    <xf numFmtId="0" fontId="35" fillId="0" borderId="0" xfId="1" applyFont="1" applyAlignment="1">
      <alignment horizontal="right"/>
    </xf>
    <xf numFmtId="0" fontId="36" fillId="0" borderId="0" xfId="1" applyFont="1" applyAlignment="1">
      <alignment horizontal="right" vertical="top"/>
    </xf>
    <xf numFmtId="0" fontId="35" fillId="0" borderId="0" xfId="1" applyFont="1" applyAlignment="1">
      <alignment horizontal="justify" vertical="center" wrapText="1"/>
    </xf>
    <xf numFmtId="0" fontId="32" fillId="0" borderId="0" xfId="1" applyFont="1" applyAlignment="1">
      <alignment horizontal="right"/>
    </xf>
    <xf numFmtId="0" fontId="35" fillId="0" borderId="0" xfId="1" applyFont="1" applyAlignment="1">
      <alignment horizontal="justify"/>
    </xf>
    <xf numFmtId="0" fontId="36" fillId="0" borderId="0" xfId="1" applyFont="1" applyAlignment="1">
      <alignment horizontal="left" indent="8"/>
    </xf>
    <xf numFmtId="0" fontId="35" fillId="0" borderId="0" xfId="1" applyFont="1" applyAlignment="1">
      <alignment horizontal="left" indent="8"/>
    </xf>
    <xf numFmtId="0" fontId="36" fillId="0" borderId="0" xfId="1" applyFont="1" applyAlignment="1">
      <alignment horizontal="right" vertical="center"/>
    </xf>
    <xf numFmtId="0" fontId="41" fillId="0" borderId="0" xfId="1" applyFont="1" applyAlignment="1">
      <alignment horizontal="center"/>
    </xf>
    <xf numFmtId="0" fontId="46" fillId="0" borderId="1" xfId="3" applyFont="1" applyBorder="1" applyAlignment="1">
      <alignment horizontal="left" vertical="top"/>
    </xf>
    <xf numFmtId="0" fontId="46" fillId="0" borderId="1" xfId="3" applyFont="1" applyBorder="1" applyAlignment="1">
      <alignment horizontal="left" vertical="top" wrapText="1"/>
    </xf>
    <xf numFmtId="0" fontId="2" fillId="0" borderId="0" xfId="1" applyAlignment="1">
      <alignment horizontal="left" vertical="top"/>
    </xf>
    <xf numFmtId="0" fontId="38" fillId="0" borderId="0" xfId="1" applyFont="1" applyAlignment="1">
      <alignment horizontal="left" vertical="top"/>
    </xf>
    <xf numFmtId="0" fontId="42" fillId="0" borderId="0" xfId="1" applyFont="1" applyAlignment="1">
      <alignment horizontal="left" vertical="top"/>
    </xf>
    <xf numFmtId="2" fontId="42" fillId="0" borderId="0" xfId="1" applyNumberFormat="1" applyFont="1" applyAlignment="1">
      <alignment horizontal="left" vertical="top"/>
    </xf>
    <xf numFmtId="0" fontId="2" fillId="0" borderId="0" xfId="1" applyAlignment="1">
      <alignment horizontal="center" vertical="top"/>
    </xf>
    <xf numFmtId="0" fontId="42" fillId="0" borderId="0" xfId="1" applyFont="1" applyAlignment="1">
      <alignment horizontal="center" vertical="top"/>
    </xf>
    <xf numFmtId="0" fontId="38" fillId="0" borderId="0" xfId="1" applyFont="1" applyAlignment="1">
      <alignment horizontal="center" vertical="top"/>
    </xf>
    <xf numFmtId="0" fontId="43" fillId="0" borderId="1" xfId="1" applyFont="1" applyBorder="1" applyAlignment="1">
      <alignment horizontal="center" vertical="center" wrapText="1"/>
    </xf>
    <xf numFmtId="0" fontId="42" fillId="0" borderId="0" xfId="1" applyFont="1" applyAlignment="1">
      <alignment horizontal="right"/>
    </xf>
    <xf numFmtId="2" fontId="46" fillId="0" borderId="1" xfId="1" applyNumberFormat="1" applyFont="1" applyBorder="1" applyAlignment="1">
      <alignment horizontal="left" vertical="top"/>
    </xf>
    <xf numFmtId="0" fontId="40" fillId="3" borderId="0" xfId="1" applyFont="1" applyFill="1" applyAlignment="1">
      <alignment horizontal="center" vertical="top" wrapText="1"/>
    </xf>
    <xf numFmtId="4" fontId="35" fillId="3" borderId="1" xfId="1" applyNumberFormat="1" applyFont="1" applyFill="1" applyBorder="1" applyAlignment="1">
      <alignment horizontal="center" vertical="center" wrapText="1"/>
    </xf>
    <xf numFmtId="0" fontId="35" fillId="0" borderId="1" xfId="3" applyFont="1" applyBorder="1" applyAlignment="1">
      <alignment horizontal="left" vertical="top" wrapText="1"/>
    </xf>
    <xf numFmtId="0" fontId="35" fillId="0" borderId="1" xfId="1" applyFont="1" applyBorder="1" applyAlignment="1">
      <alignment horizontal="left" vertical="top" wrapText="1"/>
    </xf>
    <xf numFmtId="0" fontId="35" fillId="0" borderId="1" xfId="3" applyFont="1" applyBorder="1" applyAlignment="1">
      <alignment horizontal="left" vertical="center"/>
    </xf>
    <xf numFmtId="0" fontId="35" fillId="0" borderId="1" xfId="3" applyFont="1" applyBorder="1" applyAlignment="1">
      <alignment horizontal="left" vertical="center" wrapText="1"/>
    </xf>
    <xf numFmtId="2" fontId="42" fillId="0" borderId="0" xfId="1" applyNumberFormat="1" applyFont="1" applyAlignment="1">
      <alignment horizontal="center" vertical="center"/>
    </xf>
    <xf numFmtId="0" fontId="35" fillId="0" borderId="1" xfId="3" applyFont="1" applyBorder="1" applyAlignment="1">
      <alignment horizontal="justify" vertical="top" wrapText="1"/>
    </xf>
    <xf numFmtId="0" fontId="38" fillId="0" borderId="1" xfId="3" applyFont="1" applyBorder="1" applyAlignment="1">
      <alignment horizontal="center" vertical="top" wrapText="1"/>
    </xf>
    <xf numFmtId="0" fontId="2" fillId="0" borderId="0" xfId="1" applyAlignment="1">
      <alignment vertical="top"/>
    </xf>
    <xf numFmtId="49" fontId="34" fillId="3" borderId="7" xfId="1" applyNumberFormat="1" applyFont="1" applyFill="1" applyBorder="1" applyAlignment="1">
      <alignment horizontal="center" vertical="center" wrapText="1"/>
    </xf>
    <xf numFmtId="49" fontId="34" fillId="3" borderId="8" xfId="1" applyNumberFormat="1" applyFont="1" applyFill="1" applyBorder="1" applyAlignment="1">
      <alignment horizontal="center" vertical="center" wrapText="1"/>
    </xf>
    <xf numFmtId="4" fontId="34" fillId="3" borderId="8" xfId="1" applyNumberFormat="1" applyFont="1" applyFill="1" applyBorder="1" applyAlignment="1">
      <alignment horizontal="center" vertical="center" wrapText="1"/>
    </xf>
    <xf numFmtId="4" fontId="34" fillId="3" borderId="9" xfId="1" applyNumberFormat="1" applyFont="1" applyFill="1" applyBorder="1" applyAlignment="1">
      <alignment horizontal="center" vertical="center" wrapText="1"/>
    </xf>
    <xf numFmtId="49" fontId="34" fillId="3" borderId="1" xfId="1" applyNumberFormat="1" applyFont="1" applyFill="1" applyBorder="1" applyAlignment="1">
      <alignment horizontal="center" vertical="top" wrapText="1"/>
    </xf>
    <xf numFmtId="4" fontId="34" fillId="3" borderId="1" xfId="1" applyNumberFormat="1" applyFont="1" applyFill="1" applyBorder="1" applyAlignment="1">
      <alignment horizontal="left" vertical="top" wrapText="1"/>
    </xf>
    <xf numFmtId="0" fontId="41" fillId="0" borderId="1" xfId="1" applyFont="1" applyBorder="1" applyAlignment="1">
      <alignment horizontal="center" vertical="top"/>
    </xf>
    <xf numFmtId="4" fontId="41" fillId="3" borderId="1" xfId="1" applyNumberFormat="1" applyFont="1" applyFill="1" applyBorder="1" applyAlignment="1">
      <alignment horizontal="center" vertical="top" wrapText="1"/>
    </xf>
    <xf numFmtId="49" fontId="35" fillId="3" borderId="1" xfId="1" applyNumberFormat="1" applyFont="1" applyFill="1" applyBorder="1" applyAlignment="1">
      <alignment horizontal="center" vertical="center" wrapText="1"/>
    </xf>
    <xf numFmtId="49" fontId="35" fillId="3" borderId="0" xfId="1" applyNumberFormat="1" applyFont="1" applyFill="1" applyAlignment="1">
      <alignment horizontal="center" vertical="center" wrapText="1"/>
    </xf>
    <xf numFmtId="0" fontId="35" fillId="0" borderId="0" xfId="3" applyFont="1" applyAlignment="1">
      <alignment horizontal="left" vertical="center" wrapText="1"/>
    </xf>
    <xf numFmtId="0" fontId="35" fillId="0" borderId="0" xfId="3" applyFont="1" applyAlignment="1">
      <alignment horizontal="justify" vertical="top" wrapText="1"/>
    </xf>
    <xf numFmtId="4" fontId="35" fillId="3" borderId="0" xfId="1" applyNumberFormat="1" applyFont="1" applyFill="1" applyAlignment="1">
      <alignment horizontal="center" vertical="center" wrapText="1"/>
    </xf>
    <xf numFmtId="0" fontId="43" fillId="0" borderId="1" xfId="1" applyFont="1" applyBorder="1" applyAlignment="1">
      <alignment horizontal="center" vertical="top" wrapText="1"/>
    </xf>
    <xf numFmtId="0" fontId="40" fillId="0" borderId="0" xfId="1" applyFont="1" applyAlignment="1">
      <alignment horizontal="center" vertical="top"/>
    </xf>
    <xf numFmtId="0" fontId="35" fillId="0" borderId="0" xfId="1" applyFont="1" applyAlignment="1">
      <alignment horizontal="justify" vertical="top" wrapText="1"/>
    </xf>
    <xf numFmtId="0" fontId="35" fillId="0" borderId="0" xfId="1" applyFont="1" applyAlignment="1">
      <alignment horizontal="left"/>
    </xf>
    <xf numFmtId="0" fontId="35" fillId="0" borderId="0" xfId="1" applyFont="1" applyAlignment="1">
      <alignment horizontal="left" vertical="center"/>
    </xf>
    <xf numFmtId="0" fontId="35" fillId="0" borderId="0" xfId="0" applyFont="1" applyAlignment="1">
      <alignment vertical="top" wrapText="1"/>
    </xf>
    <xf numFmtId="4" fontId="32" fillId="0" borderId="0" xfId="1" applyNumberFormat="1" applyFont="1" applyAlignment="1">
      <alignment horizontal="left"/>
    </xf>
    <xf numFmtId="0" fontId="35" fillId="0" borderId="0" xfId="1" applyFont="1" applyAlignment="1">
      <alignment horizontal="left" vertical="top"/>
    </xf>
    <xf numFmtId="0" fontId="36" fillId="0" borderId="0" xfId="1" applyFont="1" applyAlignment="1">
      <alignment horizontal="left"/>
    </xf>
    <xf numFmtId="0" fontId="36" fillId="0" borderId="0" xfId="1" applyFont="1"/>
    <xf numFmtId="0" fontId="40" fillId="0" borderId="0" xfId="1" applyFont="1" applyAlignment="1">
      <alignment horizontal="center" vertical="center"/>
    </xf>
    <xf numFmtId="0" fontId="36" fillId="0" borderId="0" xfId="1" applyFont="1" applyAlignment="1">
      <alignment horizontal="justify" vertical="top" wrapText="1"/>
    </xf>
    <xf numFmtId="0" fontId="36" fillId="0" borderId="0" xfId="1" applyFont="1" applyAlignment="1">
      <alignment horizontal="justify" wrapText="1"/>
    </xf>
    <xf numFmtId="0" fontId="37" fillId="0" borderId="0" xfId="1" applyFont="1" applyAlignment="1">
      <alignment horizontal="center" vertical="top"/>
    </xf>
    <xf numFmtId="0" fontId="37" fillId="0" borderId="5" xfId="1" applyFont="1" applyBorder="1" applyAlignment="1">
      <alignment horizontal="center" vertical="top"/>
    </xf>
    <xf numFmtId="0" fontId="43" fillId="0" borderId="1" xfId="1" applyFont="1" applyBorder="1" applyAlignment="1">
      <alignment horizontal="center" vertical="top" wrapText="1"/>
    </xf>
    <xf numFmtId="0" fontId="36" fillId="0" borderId="0" xfId="1" applyFont="1" applyAlignment="1">
      <alignment horizontal="left" vertical="top"/>
    </xf>
    <xf numFmtId="0" fontId="42" fillId="0" borderId="0" xfId="1" applyFont="1" applyAlignment="1">
      <alignment horizontal="right"/>
    </xf>
    <xf numFmtId="0" fontId="42" fillId="0" borderId="0" xfId="1" applyFont="1" applyAlignment="1">
      <alignment horizontal="center" vertical="top"/>
    </xf>
    <xf numFmtId="0" fontId="45" fillId="0" borderId="1" xfId="1" applyFont="1" applyBorder="1" applyAlignment="1">
      <alignment horizontal="center" vertical="center" wrapText="1"/>
    </xf>
    <xf numFmtId="0" fontId="40" fillId="3" borderId="0" xfId="1" applyFont="1" applyFill="1" applyAlignment="1">
      <alignment horizontal="center" vertical="top" wrapText="1"/>
    </xf>
    <xf numFmtId="0" fontId="36" fillId="3" borderId="1" xfId="1" applyFont="1" applyFill="1" applyBorder="1" applyAlignment="1">
      <alignment horizontal="center" vertical="center" wrapText="1"/>
    </xf>
    <xf numFmtId="0" fontId="5" fillId="2" borderId="1" xfId="1" applyFont="1" applyFill="1" applyBorder="1" applyAlignment="1">
      <alignment vertical="top" wrapText="1"/>
    </xf>
    <xf numFmtId="0" fontId="3" fillId="2" borderId="1" xfId="1" applyFont="1" applyFill="1" applyBorder="1" applyAlignment="1">
      <alignment vertical="top" wrapText="1"/>
    </xf>
    <xf numFmtId="0" fontId="5" fillId="2" borderId="1" xfId="1" applyFont="1" applyFill="1" applyBorder="1" applyAlignment="1">
      <alignment vertical="top"/>
    </xf>
    <xf numFmtId="0" fontId="5" fillId="2" borderId="1" xfId="1" applyFont="1" applyFill="1" applyBorder="1" applyAlignment="1">
      <alignment horizontal="center" vertical="top"/>
    </xf>
    <xf numFmtId="0" fontId="5" fillId="2" borderId="1" xfId="1" applyFont="1" applyFill="1" applyBorder="1" applyAlignment="1">
      <alignment horizontal="center" vertical="center" wrapText="1"/>
    </xf>
    <xf numFmtId="0" fontId="10" fillId="2" borderId="1" xfId="1" applyFont="1" applyFill="1" applyBorder="1" applyAlignment="1">
      <alignment horizontal="center" vertical="center"/>
    </xf>
    <xf numFmtId="0" fontId="21" fillId="2" borderId="1" xfId="1" applyFont="1" applyFill="1" applyBorder="1" applyAlignment="1">
      <alignment horizontal="center" vertical="center"/>
    </xf>
    <xf numFmtId="0" fontId="18" fillId="2" borderId="1" xfId="1" applyFont="1" applyFill="1" applyBorder="1" applyAlignment="1">
      <alignment horizontal="center" vertical="center" wrapText="1"/>
    </xf>
    <xf numFmtId="0" fontId="20" fillId="2" borderId="1" xfId="1" applyFont="1" applyFill="1" applyBorder="1" applyAlignment="1">
      <alignment horizontal="center" vertical="center" wrapText="1"/>
    </xf>
    <xf numFmtId="0" fontId="43" fillId="0" borderId="6" xfId="1" applyFont="1" applyBorder="1" applyAlignment="1">
      <alignment horizontal="center" vertical="top" wrapText="1"/>
    </xf>
    <xf numFmtId="4" fontId="43" fillId="0" borderId="1" xfId="1" applyNumberFormat="1" applyFont="1" applyBorder="1" applyAlignment="1">
      <alignment horizontal="center" vertical="top" wrapText="1"/>
    </xf>
  </cellXfs>
  <cellStyles count="21">
    <cellStyle name="Comma 3" xfId="19" xr:uid="{00000000-0005-0000-0000-000000000000}"/>
    <cellStyle name="Normal" xfId="0" builtinId="0"/>
    <cellStyle name="Normal 10" xfId="3" xr:uid="{00000000-0005-0000-0000-000002000000}"/>
    <cellStyle name="Normal 10 2" xfId="15" xr:uid="{00000000-0005-0000-0000-000003000000}"/>
    <cellStyle name="Normal 14" xfId="9" xr:uid="{00000000-0005-0000-0000-000004000000}"/>
    <cellStyle name="Normal 15" xfId="8" xr:uid="{00000000-0005-0000-0000-000005000000}"/>
    <cellStyle name="Normal 16" xfId="7" xr:uid="{00000000-0005-0000-0000-000006000000}"/>
    <cellStyle name="Normal 18" xfId="6" xr:uid="{00000000-0005-0000-0000-000007000000}"/>
    <cellStyle name="Normal 2" xfId="1" xr:uid="{00000000-0005-0000-0000-000008000000}"/>
    <cellStyle name="Normal 2 2" xfId="10" xr:uid="{00000000-0005-0000-0000-000009000000}"/>
    <cellStyle name="Normal 2 2 2" xfId="14" xr:uid="{00000000-0005-0000-0000-00000A000000}"/>
    <cellStyle name="Normal 2 3" xfId="12" xr:uid="{00000000-0005-0000-0000-00000B000000}"/>
    <cellStyle name="Normal 2 4" xfId="13" xr:uid="{00000000-0005-0000-0000-00000C000000}"/>
    <cellStyle name="Normal 3" xfId="2" xr:uid="{00000000-0005-0000-0000-00000D000000}"/>
    <cellStyle name="Normal 3 2" xfId="16" xr:uid="{00000000-0005-0000-0000-00000E000000}"/>
    <cellStyle name="Normal 4" xfId="20" xr:uid="{00000000-0005-0000-0000-00000F000000}"/>
    <cellStyle name="Normal 4 2" xfId="17" xr:uid="{00000000-0005-0000-0000-000010000000}"/>
    <cellStyle name="Normal 5" xfId="18" xr:uid="{00000000-0005-0000-0000-000011000000}"/>
    <cellStyle name="Normal 6" xfId="11" xr:uid="{00000000-0005-0000-0000-000012000000}"/>
    <cellStyle name="Normal 7" xfId="5" xr:uid="{00000000-0005-0000-0000-000013000000}"/>
    <cellStyle name="Normal 9" xfId="4" xr:uid="{00000000-0005-0000-0000-00001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BARODA%20ELECTRICAL%20SUB%20DIVISION\V.I.%20SECTION\2010-2011\Deposit\Renovation%20to%20E.I%20%20of%20G.I.T.%20(ITI)%20at%20Gorwa,%20Barod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BARODA%20ELECTRICAL%20SUB%20DIVISION\V.I.%20SECTION\2010-2011\Deposit\Renovation%20to%20E.I%20%20of%20G.I.T.%20(ITI)%20at%20Gorwa,%20Barod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KHOKHAR\FD%2006_07\Balasinor%20section\ESTRWBM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KHOKHAR\FD%2006_07\Balasinor%20section\ESTRWBM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From%20Others\From%20Kapadwanj\ruc\OT\Hudco\Pragatipath%20Road%20Furnitur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From%20Others\From%20Kapadwanj\ruc\OT\Hudco\Pragatipath%20Road%20Furnitur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From%20Others\From%20Kapadwanj\ruc\OT\Hudco\HUDCO%20OT%20ESTIMA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From%20Others\From%20Kapadwanj\ruc\OT\Hudco\HUDCO%20OT%20ESTIM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old%20backup%20of%20Medical%202002-03\cancer%20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old%20backup%20of%20Medical%202002-03\cancer%20R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From%20Others\From%20Kapadwanj\ruc\OT\Hudco\M%20&amp;%20R%20Bagodara%20-%20Raipur%20-%20Galiana%20Road(%20Km%201.0%20to%204.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From%20Others\From%20Kapadwanj\ruc\OT\Hudco\M%20&amp;%20R%20Bagodara%20-%20Raipur%20-%20Galiana%20Road(%20Km%201.0%20to%204.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Dholka%20Kheda%20Road%20(Pragati%20path)\Pragati%20path%20Rubble%20pitch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Dholka%20Kheda%20Road%20(Pragati%20path)\Pragati%20path%20Rubble%20pitch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Revised%20SOR\ARRR-ver-1104%20mEHSAN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Revised%20SOR\ARRR-ver-1104%20mEHSAN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n\NishiT\R%20&amp;%20B%20state\2009\006\9-6-09%20FINAL%20court\recover%20data\R.M\DRS%20RUPEE%20IN%20WORD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n\NishiT\R%20&amp;%20B%20state\2009\006\9-6-09%20FINAL%20court\recover%20data\R.M\DRS%20RUPEE%20IN%20WORD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From%20Others\From%20Kapadwanj\ruc\OT\Hudco\CRF\CRF%20WORK%20BAGODARA%20DHOLKA%20KHEDA%20R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From%20Others\From%20Kapadwanj\ruc\OT\Hudco\CRF\CRF%20WORK%20BAGODARA%20DHOLKA%20KHEDA%20ROA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New%20folder\All%20work%20files\2%20R%20AND%20B%20STATE\129%20STRNG.%20VARI.%20PACKGE-4,%20R%20&amp;%20B%20STATE\My%20Documents\PMGSY%20%20DPR\Ls%20Vichiyapur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New%20folder\All%20work%20files\2%20R%20AND%20B%20STATE\129%20STRNG.%20VARI.%20PACKGE-4,%20R%20&amp;%20B%20STATE\My%20Documents\PMGSY%20%20DPR\Ls%20Vichiyapur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Front "/>
      <sheetName val="Est-Iner"/>
      <sheetName val="Dis. Schedule"/>
      <sheetName val="Tech-Note "/>
      <sheetName val="Check list"/>
      <sheetName val="NBC Certificate"/>
      <sheetName val="Require"/>
      <sheetName val="Compare"/>
      <sheetName val="Sch-A."/>
      <sheetName val="Sch-B"/>
      <sheetName val="BILL"/>
      <sheetName val="XL4Test5"/>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Front "/>
      <sheetName val="Est-Iner"/>
      <sheetName val="Dis. Schedule"/>
      <sheetName val="Tech-Note "/>
      <sheetName val="Check list"/>
      <sheetName val="NBC Certificate"/>
      <sheetName val="Require"/>
      <sheetName val="Compare"/>
      <sheetName val="Sch-A."/>
      <sheetName val="Sch-B"/>
      <sheetName val="BILL"/>
      <sheetName val="XL4Test5"/>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
      <sheetName val="MEAS"/>
      <sheetName val="R.A."/>
      <sheetName val="MTCOST"/>
      <sheetName val="lead"/>
      <sheetName val="face"/>
      <sheetName val="GD."/>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row r="2">
          <cell r="B2" t="str">
            <v>NAME OF WORK</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
      <sheetName val="MEAS"/>
      <sheetName val="R.A."/>
      <sheetName val="MTCOST"/>
      <sheetName val="lead"/>
      <sheetName val="face"/>
      <sheetName val="GD."/>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row r="2">
          <cell r="B2" t="str">
            <v>NAME OF WORK</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
      <sheetName val="Abstract-1"/>
    </sheetNames>
    <sheetDataSet>
      <sheetData sheetId="0">
        <row r="72">
          <cell r="H72">
            <v>6</v>
          </cell>
        </row>
        <row r="85">
          <cell r="H85">
            <v>1</v>
          </cell>
        </row>
        <row r="91">
          <cell r="H91">
            <v>30</v>
          </cell>
        </row>
        <row r="99">
          <cell r="H99">
            <v>333</v>
          </cell>
        </row>
        <row r="108">
          <cell r="H108">
            <v>482</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
      <sheetName val="Abstract-1"/>
    </sheetNames>
    <sheetDataSet>
      <sheetData sheetId="0">
        <row r="72">
          <cell r="H72">
            <v>6</v>
          </cell>
        </row>
        <row r="85">
          <cell r="H85">
            <v>1</v>
          </cell>
        </row>
        <row r="91">
          <cell r="H91">
            <v>30</v>
          </cell>
        </row>
        <row r="99">
          <cell r="H99">
            <v>333</v>
          </cell>
        </row>
        <row r="108">
          <cell r="H108">
            <v>482</v>
          </cell>
        </row>
      </sheetData>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ituSheet"/>
      <sheetName val="GD"/>
      <sheetName val="Road cost"/>
      <sheetName val="Abstract-1 "/>
      <sheetName val="mes-1"/>
      <sheetName val="Abstract-2"/>
      <sheetName val="Measurement-2"/>
      <sheetName val="Abs-3"/>
      <sheetName val="Meas-3"/>
      <sheetName val="abs-4"/>
      <sheetName val="mes-4"/>
      <sheetName val="Abs CD4"/>
      <sheetName val="MeasCD4"/>
      <sheetName val="RAPitching"/>
      <sheetName val="RA"/>
      <sheetName val="Ty.C.S."/>
      <sheetName val="Abstract-1"/>
      <sheetName val="Cor. RA"/>
    </sheetNames>
    <sheetDataSet>
      <sheetData sheetId="0"/>
      <sheetData sheetId="1"/>
      <sheetData sheetId="2"/>
      <sheetData sheetId="3"/>
      <sheetData sheetId="4"/>
      <sheetData sheetId="5">
        <row r="8">
          <cell r="C8" t="str">
            <v>Providing and laying 50 mm.thick B.M.with  B.T.aggregate as per MORT &amp; H specification and asphalt for tack coat at 2.5 kg. / 10 sq.m. with mechanical spreyer and bitumen grade 80/100 for mixing at 34.00kg./ M.T.i.e.3.4% of total mix including heating the</v>
          </cell>
        </row>
      </sheetData>
      <sheetData sheetId="6"/>
      <sheetData sheetId="7"/>
      <sheetData sheetId="8"/>
      <sheetData sheetId="9"/>
      <sheetData sheetId="10"/>
      <sheetData sheetId="11"/>
      <sheetData sheetId="12"/>
      <sheetData sheetId="13"/>
      <sheetData sheetId="14">
        <row r="48">
          <cell r="A48" t="str">
            <v>Providing and laying,Spreding and compacting  graded stone aggrigate to wet mix mecadam 225mm thick as per MORT &amp; H specification including premixing the material with water at OMC in mechanical mix plant carriage of mixed materialby tipper to site laying</v>
          </cell>
        </row>
        <row r="93">
          <cell r="A93" t="str">
            <v>Providing and laying Granular sub base 150mm thick using  material (C.R.B. more than 30 % ) as per required gradation including  conveying the materials at site of work, sreading  in to grade and camber and consolidation with power vibratory road roller i</v>
          </cell>
        </row>
        <row r="112">
          <cell r="I112">
            <v>573.16999999999996</v>
          </cell>
        </row>
      </sheetData>
      <sheetData sheetId="15"/>
      <sheetData sheetId="16"/>
      <sheetData sheetId="1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ituSheet"/>
      <sheetName val="GD"/>
      <sheetName val="Road cost"/>
      <sheetName val="Abstract-1 "/>
      <sheetName val="mes-1"/>
      <sheetName val="Abstract-2"/>
      <sheetName val="Measurement-2"/>
      <sheetName val="Abs-3"/>
      <sheetName val="Meas-3"/>
      <sheetName val="abs-4"/>
      <sheetName val="mes-4"/>
      <sheetName val="Abs CD4"/>
      <sheetName val="MeasCD4"/>
      <sheetName val="RAPitching"/>
      <sheetName val="RA"/>
      <sheetName val="Ty.C.S."/>
      <sheetName val="Abstract-1"/>
      <sheetName val="Cor. RA"/>
    </sheetNames>
    <sheetDataSet>
      <sheetData sheetId="0"/>
      <sheetData sheetId="1"/>
      <sheetData sheetId="2"/>
      <sheetData sheetId="3"/>
      <sheetData sheetId="4"/>
      <sheetData sheetId="5">
        <row r="8">
          <cell r="C8" t="str">
            <v>Providing and laying 50 mm.thick B.M.with  B.T.aggregate as per MORT &amp; H specification and asphalt for tack coat at 2.5 kg. / 10 sq.m. with mechanical spreyer and bitumen grade 80/100 for mixing at 34.00kg./ M.T.i.e.3.4% of total mix including heating the</v>
          </cell>
        </row>
      </sheetData>
      <sheetData sheetId="6"/>
      <sheetData sheetId="7"/>
      <sheetData sheetId="8"/>
      <sheetData sheetId="9"/>
      <sheetData sheetId="10"/>
      <sheetData sheetId="11"/>
      <sheetData sheetId="12"/>
      <sheetData sheetId="13"/>
      <sheetData sheetId="14">
        <row r="48">
          <cell r="A48" t="str">
            <v>Providing and laying,Spreding and compacting  graded stone aggrigate to wet mix mecadam 225mm thick as per MORT &amp; H specification including premixing the material with water at OMC in mechanical mix plant carriage of mixed materialby tipper to site laying</v>
          </cell>
        </row>
        <row r="93">
          <cell r="A93" t="str">
            <v>Providing and laying Granular sub base 150mm thick using  material (C.R.B. more than 30 % ) as per required gradation including  conveying the materials at site of work, sreading  in to grade and camber and consolidation with power vibratory road roller i</v>
          </cell>
        </row>
        <row r="112">
          <cell r="I112">
            <v>573.16999999999996</v>
          </cell>
        </row>
      </sheetData>
      <sheetData sheetId="15"/>
      <sheetData sheetId="16"/>
      <sheetData sheetId="1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Col-250 1st"/>
      <sheetName val="RA Col-250 2nd"/>
      <sheetName val="RA Beam-200 1st"/>
      <sheetName val="RA Slab 1st"/>
      <sheetName val="RA Slab 1st (2)"/>
      <sheetName val="mest.footing"/>
      <sheetName val="Gujarati - 1"/>
      <sheetName val="Excess"/>
      <sheetName val="Ex.Eng."/>
      <sheetName val="S.E."/>
      <sheetName val="C.E"/>
    </sheetNames>
    <sheetDataSet>
      <sheetData sheetId="0"/>
      <sheetData sheetId="1"/>
      <sheetData sheetId="2"/>
      <sheetData sheetId="3"/>
      <sheetData sheetId="4"/>
      <sheetData sheetId="5"/>
      <sheetData sheetId="6"/>
      <sheetData sheetId="7">
        <row r="6">
          <cell r="A6" t="str">
            <v>It. No</v>
          </cell>
          <cell r="B6" t="str">
            <v>Item                Description</v>
          </cell>
          <cell r="C6" t="str">
            <v>Unit</v>
          </cell>
          <cell r="D6" t="str">
            <v>As Per Estimate</v>
          </cell>
          <cell r="G6" t="str">
            <v>AS per Tender</v>
          </cell>
          <cell r="J6" t="str">
            <v>Qty executed as on</v>
          </cell>
          <cell r="K6" t="str">
            <v>Further Qty tobe Execute</v>
          </cell>
          <cell r="L6" t="str">
            <v>Total Anticipated Qty</v>
          </cell>
          <cell r="M6" t="str">
            <v xml:space="preserve">Excess </v>
          </cell>
          <cell r="Q6" t="str">
            <v>Saving</v>
          </cell>
        </row>
        <row r="7">
          <cell r="D7" t="str">
            <v xml:space="preserve">Qty </v>
          </cell>
          <cell r="E7" t="str">
            <v xml:space="preserve">Rate </v>
          </cell>
          <cell r="F7" t="str">
            <v>Amount</v>
          </cell>
          <cell r="G7" t="str">
            <v xml:space="preserve">Qty </v>
          </cell>
          <cell r="H7" t="str">
            <v xml:space="preserve">Rate </v>
          </cell>
          <cell r="I7" t="str">
            <v>Amount</v>
          </cell>
          <cell r="M7" t="str">
            <v xml:space="preserve">Qty </v>
          </cell>
          <cell r="N7" t="str">
            <v>Rate</v>
          </cell>
          <cell r="P7" t="str">
            <v>Amount</v>
          </cell>
          <cell r="Q7" t="str">
            <v xml:space="preserve">Qty </v>
          </cell>
          <cell r="R7" t="str">
            <v>Rate</v>
          </cell>
          <cell r="S7" t="str">
            <v>Amount</v>
          </cell>
        </row>
        <row r="8">
          <cell r="A8">
            <v>1</v>
          </cell>
          <cell r="B8">
            <v>2</v>
          </cell>
          <cell r="D8">
            <v>3</v>
          </cell>
          <cell r="E8">
            <v>4</v>
          </cell>
          <cell r="F8">
            <v>5</v>
          </cell>
          <cell r="G8">
            <v>6</v>
          </cell>
          <cell r="H8">
            <v>7</v>
          </cell>
          <cell r="I8">
            <v>8</v>
          </cell>
          <cell r="J8">
            <v>9</v>
          </cell>
          <cell r="K8">
            <v>10</v>
          </cell>
          <cell r="L8">
            <v>11</v>
          </cell>
          <cell r="M8">
            <v>12</v>
          </cell>
          <cell r="N8">
            <v>13</v>
          </cell>
          <cell r="P8">
            <v>14</v>
          </cell>
          <cell r="Q8">
            <v>15</v>
          </cell>
          <cell r="R8">
            <v>16</v>
          </cell>
          <cell r="S8">
            <v>17</v>
          </cell>
        </row>
        <row r="10">
          <cell r="A10" t="str">
            <v>1a</v>
          </cell>
          <cell r="B10" t="str">
            <v>Providing and laying controlled cement concrete M 150  with curing etc complete inculding the cost of formwork but excluding the cost of reinforcement for  R.C.C.Work in walls For First Floor</v>
          </cell>
          <cell r="C10" t="str">
            <v>Cum</v>
          </cell>
          <cell r="D10">
            <v>30.27</v>
          </cell>
          <cell r="E10">
            <v>2202.3200000000002</v>
          </cell>
          <cell r="F10">
            <v>66664.2264</v>
          </cell>
          <cell r="G10">
            <v>30.27</v>
          </cell>
          <cell r="H10">
            <v>2202.3200000000002</v>
          </cell>
          <cell r="I10">
            <v>66664.2264</v>
          </cell>
          <cell r="J10">
            <v>0</v>
          </cell>
          <cell r="K10">
            <v>0</v>
          </cell>
          <cell r="L10">
            <v>0</v>
          </cell>
          <cell r="M10" t="str">
            <v>-</v>
          </cell>
          <cell r="N10" t="str">
            <v>-</v>
          </cell>
          <cell r="P10" t="str">
            <v>-</v>
          </cell>
          <cell r="Q10">
            <v>30.27</v>
          </cell>
          <cell r="R10">
            <v>2202.3200000000002</v>
          </cell>
          <cell r="S10">
            <v>66664.2264</v>
          </cell>
        </row>
        <row r="12">
          <cell r="A12" t="str">
            <v>1b</v>
          </cell>
          <cell r="B12" t="str">
            <v>Providing and laying controlled cement concrete M 150  with curing etc complete inculding the cost of formwork but excluding the cost of reinforcement for  R.C.C.Work in column  For Second floor</v>
          </cell>
          <cell r="C12" t="str">
            <v>Cum</v>
          </cell>
          <cell r="D12">
            <v>4.82</v>
          </cell>
          <cell r="E12">
            <v>2486.75</v>
          </cell>
          <cell r="F12">
            <v>11986.135</v>
          </cell>
          <cell r="G12">
            <v>4.82</v>
          </cell>
          <cell r="H12">
            <v>2486.75</v>
          </cell>
          <cell r="I12">
            <v>11986.135</v>
          </cell>
          <cell r="J12">
            <v>0</v>
          </cell>
          <cell r="K12">
            <v>0</v>
          </cell>
          <cell r="L12">
            <v>0</v>
          </cell>
          <cell r="M12" t="str">
            <v>-</v>
          </cell>
          <cell r="N12" t="str">
            <v>-</v>
          </cell>
          <cell r="P12" t="str">
            <v>-</v>
          </cell>
          <cell r="Q12">
            <v>4.82</v>
          </cell>
          <cell r="R12">
            <v>2486.75</v>
          </cell>
          <cell r="S12">
            <v>11986.135</v>
          </cell>
        </row>
        <row r="13">
          <cell r="A13" t="str">
            <v>1b</v>
          </cell>
          <cell r="B13" t="str">
            <v>Providing and laying controlled cement concrete M 150  with curing etc complete inculding the cost of formwork but excluding the cost of reinforcement for  R.C.C.Work in column  For Second floor</v>
          </cell>
          <cell r="C13" t="str">
            <v>Cum</v>
          </cell>
          <cell r="D13">
            <v>4.82</v>
          </cell>
          <cell r="E13">
            <v>2486.75</v>
          </cell>
          <cell r="F13">
            <v>11986.135</v>
          </cell>
          <cell r="G13">
            <v>4.82</v>
          </cell>
          <cell r="H13">
            <v>2486.75</v>
          </cell>
          <cell r="I13">
            <v>11986.135</v>
          </cell>
          <cell r="J13">
            <v>0</v>
          </cell>
          <cell r="K13">
            <v>0</v>
          </cell>
          <cell r="L13">
            <v>0</v>
          </cell>
          <cell r="M13" t="str">
            <v>-</v>
          </cell>
          <cell r="N13" t="str">
            <v>-</v>
          </cell>
          <cell r="P13" t="str">
            <v>-</v>
          </cell>
          <cell r="Q13">
            <v>4.82</v>
          </cell>
          <cell r="R13">
            <v>2486.75</v>
          </cell>
          <cell r="S13">
            <v>11986.135</v>
          </cell>
        </row>
        <row r="14">
          <cell r="A14">
            <v>2</v>
          </cell>
          <cell r="B14" t="str">
            <v>Providing and laying controlled cement concrete M / 150  with curing etc complete inculding the cost of formwork but excluding the cost of reinforcement for R.C.C.Work in Beams for First Floor.</v>
          </cell>
          <cell r="C14" t="str">
            <v>Cum</v>
          </cell>
          <cell r="D14">
            <v>8</v>
          </cell>
          <cell r="E14">
            <v>2460.3000000000002</v>
          </cell>
          <cell r="F14">
            <v>19682.400000000001</v>
          </cell>
          <cell r="G14">
            <v>8</v>
          </cell>
          <cell r="H14">
            <v>2460.3000000000002</v>
          </cell>
          <cell r="I14">
            <v>19682.400000000001</v>
          </cell>
          <cell r="J14">
            <v>0</v>
          </cell>
          <cell r="K14">
            <v>0</v>
          </cell>
          <cell r="L14">
            <v>0</v>
          </cell>
          <cell r="M14" t="str">
            <v>-</v>
          </cell>
          <cell r="N14" t="str">
            <v>-</v>
          </cell>
          <cell r="P14" t="str">
            <v>-</v>
          </cell>
          <cell r="Q14">
            <v>8</v>
          </cell>
          <cell r="R14">
            <v>2460.3000000000002</v>
          </cell>
          <cell r="S14">
            <v>19682.400000000001</v>
          </cell>
        </row>
        <row r="15">
          <cell r="A15">
            <v>2</v>
          </cell>
          <cell r="B15" t="str">
            <v>Providing and laying controlled cement concrete M / 150  with curing etc complete inculding the cost of formwork but excluding the cost of reinforcement for R.C.C.Work in Beams for First Floor.</v>
          </cell>
          <cell r="C15" t="str">
            <v>Cum</v>
          </cell>
          <cell r="D15">
            <v>8</v>
          </cell>
          <cell r="E15">
            <v>2460.3000000000002</v>
          </cell>
          <cell r="F15">
            <v>19682.400000000001</v>
          </cell>
          <cell r="G15">
            <v>8</v>
          </cell>
          <cell r="H15">
            <v>2460.3000000000002</v>
          </cell>
          <cell r="I15">
            <v>19682.400000000001</v>
          </cell>
          <cell r="J15">
            <v>0</v>
          </cell>
          <cell r="K15">
            <v>0</v>
          </cell>
          <cell r="L15">
            <v>0</v>
          </cell>
          <cell r="M15" t="str">
            <v>-</v>
          </cell>
          <cell r="N15" t="str">
            <v>-</v>
          </cell>
          <cell r="P15" t="str">
            <v>-</v>
          </cell>
          <cell r="Q15">
            <v>8</v>
          </cell>
          <cell r="R15">
            <v>2460.3000000000002</v>
          </cell>
          <cell r="S15">
            <v>19682.400000000001</v>
          </cell>
        </row>
        <row r="16">
          <cell r="A16" t="str">
            <v>3a</v>
          </cell>
          <cell r="B16" t="str">
            <v>Providing laying controlled cement concrete M-150 and curing complete including the cost of form work and excluding the cost of reinforcement for reinforced concrete work in : SLAB, more than 20 cm thick ness (FF)</v>
          </cell>
          <cell r="C16" t="str">
            <v>Cum</v>
          </cell>
          <cell r="D16">
            <v>18.77</v>
          </cell>
          <cell r="E16">
            <v>2080.6999999999998</v>
          </cell>
          <cell r="F16">
            <v>39054.738999999994</v>
          </cell>
          <cell r="G16">
            <v>18.77</v>
          </cell>
          <cell r="H16">
            <v>2080.6999999999998</v>
          </cell>
          <cell r="I16">
            <v>39054.738999999994</v>
          </cell>
          <cell r="J16">
            <v>0</v>
          </cell>
          <cell r="K16">
            <v>0</v>
          </cell>
          <cell r="L16">
            <v>0</v>
          </cell>
          <cell r="M16" t="str">
            <v>-</v>
          </cell>
          <cell r="N16" t="str">
            <v>-</v>
          </cell>
          <cell r="P16" t="str">
            <v>-</v>
          </cell>
          <cell r="Q16">
            <v>18.77</v>
          </cell>
          <cell r="R16">
            <v>2080.6999999999998</v>
          </cell>
          <cell r="S16">
            <v>39054.738999999994</v>
          </cell>
        </row>
        <row r="17">
          <cell r="A17" t="str">
            <v>3a</v>
          </cell>
          <cell r="B17" t="str">
            <v>Providing laying controlled cement concrete M-150 and curing complete including the cost of form work and excluding the cost of reinforcement for reinforced concrete work in : SLAB, more than 20 cm thick ness (FF)</v>
          </cell>
          <cell r="C17" t="str">
            <v>Cum</v>
          </cell>
          <cell r="D17">
            <v>18.77</v>
          </cell>
          <cell r="E17">
            <v>2080.6999999999998</v>
          </cell>
          <cell r="F17">
            <v>39054.738999999994</v>
          </cell>
          <cell r="G17">
            <v>18.77</v>
          </cell>
          <cell r="H17">
            <v>2080.6999999999998</v>
          </cell>
          <cell r="I17">
            <v>39054.738999999994</v>
          </cell>
          <cell r="J17">
            <v>0</v>
          </cell>
          <cell r="K17">
            <v>0</v>
          </cell>
          <cell r="L17">
            <v>0</v>
          </cell>
          <cell r="M17" t="str">
            <v>-</v>
          </cell>
          <cell r="N17" t="str">
            <v>-</v>
          </cell>
          <cell r="P17" t="str">
            <v>-</v>
          </cell>
          <cell r="Q17">
            <v>18.77</v>
          </cell>
          <cell r="R17">
            <v>2080.6999999999998</v>
          </cell>
          <cell r="S17">
            <v>39054.738999999994</v>
          </cell>
        </row>
        <row r="18">
          <cell r="A18" t="str">
            <v>3b</v>
          </cell>
          <cell r="B18" t="str">
            <v>Providing laying controlled cement concrete M-150 and curing complete including the cost of form work and excluding the cost of reinforcement for reinforced concrete work in : SLAB, more than 20 cm thick ness (FF)</v>
          </cell>
          <cell r="C18" t="str">
            <v>Cum</v>
          </cell>
          <cell r="D18">
            <v>9.66</v>
          </cell>
          <cell r="E18">
            <v>2528.5700000000002</v>
          </cell>
          <cell r="F18">
            <v>24425.986200000003</v>
          </cell>
          <cell r="G18">
            <v>9.66</v>
          </cell>
          <cell r="H18">
            <v>2528.5700000000002</v>
          </cell>
          <cell r="I18">
            <v>24425.986200000003</v>
          </cell>
          <cell r="J18">
            <v>0</v>
          </cell>
          <cell r="K18">
            <v>0</v>
          </cell>
          <cell r="L18">
            <v>0</v>
          </cell>
          <cell r="M18">
            <v>0</v>
          </cell>
          <cell r="N18" t="str">
            <v>-</v>
          </cell>
          <cell r="P18" t="str">
            <v>-</v>
          </cell>
          <cell r="Q18">
            <v>9.66</v>
          </cell>
          <cell r="R18">
            <v>2528.5700000000002</v>
          </cell>
          <cell r="S18">
            <v>24425.986200000003</v>
          </cell>
        </row>
        <row r="19">
          <cell r="A19" t="str">
            <v>3b</v>
          </cell>
          <cell r="B19" t="str">
            <v>Providing laying controlled cement concrete M-150 and curing complete including the cost of form work and excluding the cost of reinforcement for reinforced concrete work in : SLAB, more than 20 cm thick ness (FF)</v>
          </cell>
          <cell r="C19" t="str">
            <v>Cum</v>
          </cell>
          <cell r="D19">
            <v>9.66</v>
          </cell>
          <cell r="E19">
            <v>2528.5700000000002</v>
          </cell>
          <cell r="F19">
            <v>24425.986200000003</v>
          </cell>
          <cell r="G19">
            <v>9.66</v>
          </cell>
          <cell r="H19">
            <v>2528.5700000000002</v>
          </cell>
          <cell r="I19">
            <v>24425.986200000003</v>
          </cell>
          <cell r="J19">
            <v>0</v>
          </cell>
          <cell r="K19">
            <v>0</v>
          </cell>
          <cell r="L19">
            <v>0</v>
          </cell>
          <cell r="M19" t="str">
            <v>-</v>
          </cell>
          <cell r="N19" t="str">
            <v>-</v>
          </cell>
          <cell r="P19" t="str">
            <v>-</v>
          </cell>
          <cell r="Q19">
            <v>9.66</v>
          </cell>
          <cell r="R19">
            <v>2528.5700000000002</v>
          </cell>
          <cell r="S19">
            <v>24425.986200000003</v>
          </cell>
        </row>
        <row r="20">
          <cell r="A20">
            <v>4</v>
          </cell>
          <cell r="B20" t="str">
            <v>Providing and laying ordinary cement concrete 1:2:4  for R C C Lintle including finishing smooth and curing etc complete including the cost of form work and excluding the cost of form work</v>
          </cell>
          <cell r="C20" t="str">
            <v>Cum</v>
          </cell>
          <cell r="D20">
            <v>0.33</v>
          </cell>
          <cell r="E20">
            <v>3005</v>
          </cell>
          <cell r="F20">
            <v>991.65000000000009</v>
          </cell>
          <cell r="G20">
            <v>0.33</v>
          </cell>
          <cell r="H20">
            <v>3005</v>
          </cell>
          <cell r="I20">
            <v>991.65000000000009</v>
          </cell>
          <cell r="J20">
            <v>0</v>
          </cell>
          <cell r="K20">
            <v>1.4</v>
          </cell>
          <cell r="L20">
            <v>1.4</v>
          </cell>
          <cell r="M20">
            <v>0.09</v>
          </cell>
          <cell r="N20">
            <v>3005</v>
          </cell>
          <cell r="O20" t="str">
            <v>A</v>
          </cell>
          <cell r="P20">
            <v>270.45</v>
          </cell>
        </row>
        <row r="21">
          <cell r="M21">
            <v>0.98</v>
          </cell>
          <cell r="N21">
            <v>512.65300000000002</v>
          </cell>
          <cell r="O21" t="str">
            <v>B</v>
          </cell>
          <cell r="P21">
            <v>2944.9</v>
          </cell>
        </row>
        <row r="22">
          <cell r="A22">
            <v>4</v>
          </cell>
          <cell r="B22" t="str">
            <v xml:space="preserve">Providing and laying ordinary cement concrete 1:2:4  ( 1 cement : 2 coarse sand : 4 graded stone aggregates 20 mm nominal size) for R C C Lintle including finishing smooth and curing etc complete including the cost of form work and excluding the cost of </v>
          </cell>
          <cell r="C22" t="str">
            <v>Cum</v>
          </cell>
          <cell r="D22">
            <v>0.33</v>
          </cell>
          <cell r="E22">
            <v>3005</v>
          </cell>
          <cell r="F22">
            <v>991.65000000000009</v>
          </cell>
          <cell r="G22">
            <v>0.33</v>
          </cell>
          <cell r="H22">
            <v>3005</v>
          </cell>
          <cell r="I22">
            <v>991.65000000000009</v>
          </cell>
          <cell r="J22">
            <v>0</v>
          </cell>
          <cell r="K22">
            <v>1.4</v>
          </cell>
          <cell r="L22">
            <v>1.4</v>
          </cell>
          <cell r="M22">
            <v>0.09</v>
          </cell>
          <cell r="N22">
            <v>2492.3469999999998</v>
          </cell>
          <cell r="P22">
            <v>224.31122999999997</v>
          </cell>
        </row>
        <row r="23">
          <cell r="M23">
            <v>1.01</v>
          </cell>
          <cell r="N23">
            <v>3005</v>
          </cell>
          <cell r="P23">
            <v>3035.05</v>
          </cell>
        </row>
        <row r="24">
          <cell r="A24">
            <v>5</v>
          </cell>
          <cell r="B24" t="str">
            <v>Providing H.Y.S.D. bar reinforcement for R.C.C. work including vending binding and placing in position complete upto floor two level.</v>
          </cell>
          <cell r="C24" t="str">
            <v>Kg</v>
          </cell>
          <cell r="D24">
            <v>7236</v>
          </cell>
          <cell r="E24">
            <v>18</v>
          </cell>
          <cell r="F24">
            <v>130248</v>
          </cell>
          <cell r="G24">
            <v>7236</v>
          </cell>
          <cell r="H24">
            <v>18</v>
          </cell>
          <cell r="I24">
            <v>130248</v>
          </cell>
          <cell r="J24">
            <v>2670.34</v>
          </cell>
          <cell r="K24">
            <v>7680</v>
          </cell>
          <cell r="L24">
            <v>10350.34</v>
          </cell>
          <cell r="M24">
            <v>1.1000000000000001</v>
          </cell>
          <cell r="N24" t="str">
            <v>(It 30.0.0 Pg 45)</v>
          </cell>
          <cell r="O24" t="str">
            <v>A</v>
          </cell>
          <cell r="P24">
            <v>3259.36123</v>
          </cell>
          <cell r="Q24" t="str">
            <v>-</v>
          </cell>
          <cell r="R24" t="str">
            <v>-</v>
          </cell>
          <cell r="S24" t="str">
            <v>-</v>
          </cell>
        </row>
        <row r="25">
          <cell r="M25">
            <v>943.54</v>
          </cell>
          <cell r="N25">
            <v>18</v>
          </cell>
          <cell r="O25" t="str">
            <v>B</v>
          </cell>
          <cell r="P25">
            <v>16983.72</v>
          </cell>
        </row>
        <row r="26">
          <cell r="M26">
            <v>3114.34</v>
          </cell>
          <cell r="N26">
            <v>3.07</v>
          </cell>
          <cell r="P26">
            <v>56058.12</v>
          </cell>
        </row>
        <row r="27">
          <cell r="A27">
            <v>5</v>
          </cell>
          <cell r="B27" t="str">
            <v>Providing H.Y.S.D. bar reinforcement for R.C.C. work including vending binding and placing in position complete upto floor two level.</v>
          </cell>
          <cell r="C27" t="str">
            <v>Kg</v>
          </cell>
          <cell r="D27">
            <v>7236</v>
          </cell>
          <cell r="E27">
            <v>18</v>
          </cell>
          <cell r="F27">
            <v>130248</v>
          </cell>
          <cell r="G27">
            <v>7236</v>
          </cell>
          <cell r="H27">
            <v>18</v>
          </cell>
          <cell r="I27">
            <v>130248</v>
          </cell>
          <cell r="J27">
            <v>2670.34</v>
          </cell>
          <cell r="K27">
            <v>7680</v>
          </cell>
          <cell r="L27">
            <v>10350.34</v>
          </cell>
          <cell r="M27">
            <v>2070.8000000000002</v>
          </cell>
          <cell r="N27">
            <v>14.93</v>
          </cell>
          <cell r="P27">
            <v>30917.044000000002</v>
          </cell>
          <cell r="Q27" t="str">
            <v>-</v>
          </cell>
          <cell r="R27" t="str">
            <v>-</v>
          </cell>
          <cell r="S27" t="str">
            <v>-</v>
          </cell>
        </row>
        <row r="28">
          <cell r="A28">
            <v>6</v>
          </cell>
          <cell r="B28" t="str">
            <v>Providing mild steel reinforcement for R.C.C. work including bending, binding and placing in position complete upto floor two level.</v>
          </cell>
          <cell r="C28" t="str">
            <v>Kg</v>
          </cell>
          <cell r="D28">
            <v>1300</v>
          </cell>
          <cell r="E28">
            <v>17</v>
          </cell>
          <cell r="F28">
            <v>22100</v>
          </cell>
          <cell r="G28">
            <v>1300</v>
          </cell>
          <cell r="H28">
            <v>17</v>
          </cell>
          <cell r="I28">
            <v>22100</v>
          </cell>
          <cell r="J28">
            <v>43.78</v>
          </cell>
          <cell r="K28">
            <v>300</v>
          </cell>
          <cell r="L28">
            <v>343.78</v>
          </cell>
          <cell r="M28">
            <v>1043.5400000000009</v>
          </cell>
          <cell r="N28">
            <v>18</v>
          </cell>
          <cell r="P28">
            <v>18783.720000000016</v>
          </cell>
          <cell r="Q28">
            <v>956.2</v>
          </cell>
          <cell r="R28">
            <v>17</v>
          </cell>
          <cell r="S28">
            <v>16255.400000000001</v>
          </cell>
        </row>
        <row r="29">
          <cell r="M29">
            <v>3114.3400000000011</v>
          </cell>
          <cell r="N29" t="str">
            <v>(It 5.4.11 Pg 41)</v>
          </cell>
          <cell r="P29">
            <v>49700.764000000017</v>
          </cell>
        </row>
        <row r="30">
          <cell r="A30">
            <v>7</v>
          </cell>
          <cell r="B30" t="str">
            <v>Brick work using common Brunt clay building bricks having crushing strength not less than 35 Kg./Sq.cm. In foundation and plinth in cement mortar 1:6 (1cement : 6 fine sand)</v>
          </cell>
          <cell r="C30" t="str">
            <v>Cum</v>
          </cell>
          <cell r="D30">
            <v>11</v>
          </cell>
          <cell r="E30">
            <v>1037.9000000000001</v>
          </cell>
          <cell r="F30">
            <v>11416.900000000001</v>
          </cell>
          <cell r="G30">
            <v>11</v>
          </cell>
          <cell r="H30">
            <v>1037.9000000000001</v>
          </cell>
          <cell r="I30">
            <v>11416.900000000001</v>
          </cell>
          <cell r="J30">
            <v>5.56</v>
          </cell>
          <cell r="K30">
            <v>6.64</v>
          </cell>
          <cell r="L30">
            <v>12.2</v>
          </cell>
          <cell r="M30">
            <v>1.2</v>
          </cell>
          <cell r="N30">
            <v>1037.9000000000001</v>
          </cell>
          <cell r="P30">
            <v>1245.48</v>
          </cell>
          <cell r="Q30" t="str">
            <v>-</v>
          </cell>
          <cell r="R30" t="str">
            <v>-</v>
          </cell>
          <cell r="S30" t="str">
            <v>-</v>
          </cell>
        </row>
        <row r="32">
          <cell r="A32">
            <v>6</v>
          </cell>
          <cell r="B32" t="str">
            <v>Providing mild steel reinforcement for R.C.C. work including bending, binding and placing in position complete upto floor two level.</v>
          </cell>
          <cell r="C32" t="str">
            <v>Kg</v>
          </cell>
          <cell r="D32">
            <v>1300</v>
          </cell>
          <cell r="E32">
            <v>17</v>
          </cell>
          <cell r="F32">
            <v>22100</v>
          </cell>
          <cell r="G32">
            <v>1300</v>
          </cell>
          <cell r="H32">
            <v>17</v>
          </cell>
          <cell r="I32">
            <v>22100</v>
          </cell>
          <cell r="J32">
            <v>43.78</v>
          </cell>
          <cell r="K32">
            <v>300</v>
          </cell>
          <cell r="L32">
            <v>343.78</v>
          </cell>
          <cell r="M32">
            <v>0</v>
          </cell>
          <cell r="N32" t="str">
            <v>-</v>
          </cell>
          <cell r="P32" t="str">
            <v>-</v>
          </cell>
          <cell r="Q32">
            <v>-956.22</v>
          </cell>
          <cell r="R32">
            <v>17</v>
          </cell>
          <cell r="S32">
            <v>16255.7</v>
          </cell>
        </row>
        <row r="33">
          <cell r="N33">
            <v>1037.9000000000001</v>
          </cell>
        </row>
        <row r="34">
          <cell r="A34">
            <v>9</v>
          </cell>
          <cell r="B34" t="str">
            <v xml:space="preserve">Providing 15 mm thick Cement Plaster in single coat on fair sides of brick or concrete walls for interior plastering utpof floor two level finished veven and smooth in c m 1:4 (1 cement : 4 sand) for first floor level     </v>
          </cell>
          <cell r="C34" t="str">
            <v>Sqm</v>
          </cell>
          <cell r="D34">
            <v>298</v>
          </cell>
          <cell r="E34">
            <v>57.6</v>
          </cell>
          <cell r="F34">
            <v>17164.8</v>
          </cell>
          <cell r="G34">
            <v>298</v>
          </cell>
          <cell r="H34">
            <v>57.6</v>
          </cell>
          <cell r="I34">
            <v>17164.8</v>
          </cell>
          <cell r="J34">
            <v>0</v>
          </cell>
          <cell r="K34">
            <v>298</v>
          </cell>
          <cell r="L34">
            <v>298</v>
          </cell>
          <cell r="M34" t="str">
            <v>-</v>
          </cell>
          <cell r="N34">
            <v>177.06574000000001</v>
          </cell>
          <cell r="P34" t="str">
            <v>-</v>
          </cell>
          <cell r="Q34" t="str">
            <v>-</v>
          </cell>
          <cell r="R34" t="str">
            <v>-</v>
          </cell>
          <cell r="S34" t="str">
            <v>-</v>
          </cell>
        </row>
        <row r="35">
          <cell r="A35">
            <v>7</v>
          </cell>
          <cell r="B35" t="str">
            <v>Brick work using common Brunt clay building bricks having crushing strength not less than 35 Kg./Sq.cm. In foundation and plinth in cement mortar 1:6 (1cement : 6 fine sand)</v>
          </cell>
          <cell r="C35" t="str">
            <v>Cum</v>
          </cell>
          <cell r="D35">
            <v>11</v>
          </cell>
          <cell r="E35">
            <v>1037.9000000000001</v>
          </cell>
          <cell r="F35">
            <v>11416.900000000001</v>
          </cell>
          <cell r="G35">
            <v>11</v>
          </cell>
          <cell r="H35">
            <v>1037.9000000000001</v>
          </cell>
          <cell r="I35">
            <v>11416.900000000001</v>
          </cell>
          <cell r="J35">
            <v>5.56</v>
          </cell>
          <cell r="K35">
            <v>6.64</v>
          </cell>
          <cell r="L35">
            <v>12.2</v>
          </cell>
          <cell r="M35">
            <v>1.2</v>
          </cell>
          <cell r="N35">
            <v>860.83426000000009</v>
          </cell>
          <cell r="P35">
            <v>1033.0011120000001</v>
          </cell>
          <cell r="Q35" t="str">
            <v>-</v>
          </cell>
          <cell r="R35" t="str">
            <v>-</v>
          </cell>
          <cell r="S35" t="str">
            <v>-</v>
          </cell>
        </row>
        <row r="36">
          <cell r="A36">
            <v>10</v>
          </cell>
          <cell r="B36" t="str">
            <v>Providing 10 mm thick Cement Plaster in single coat on fair sides of brick or concrete walls for interior plastering for first floor  level finished even and smooth in C M 1:4 ( 1 cement : 4 fine sand) including floating coat of neat cement slurry on cell</v>
          </cell>
          <cell r="C36" t="str">
            <v>Sqm</v>
          </cell>
          <cell r="D36">
            <v>155</v>
          </cell>
          <cell r="E36">
            <v>51.8</v>
          </cell>
          <cell r="F36">
            <v>8029</v>
          </cell>
          <cell r="G36">
            <v>155</v>
          </cell>
          <cell r="H36">
            <v>51.8</v>
          </cell>
          <cell r="I36">
            <v>8029</v>
          </cell>
          <cell r="J36">
            <v>0</v>
          </cell>
          <cell r="K36">
            <v>155</v>
          </cell>
          <cell r="L36">
            <v>155</v>
          </cell>
          <cell r="M36" t="str">
            <v>-</v>
          </cell>
          <cell r="N36">
            <v>174.4</v>
          </cell>
          <cell r="P36" t="str">
            <v>-</v>
          </cell>
          <cell r="Q36" t="str">
            <v>-</v>
          </cell>
          <cell r="R36" t="str">
            <v>-</v>
          </cell>
          <cell r="S36" t="str">
            <v>-</v>
          </cell>
        </row>
        <row r="37">
          <cell r="N37">
            <v>29.75264</v>
          </cell>
        </row>
        <row r="38">
          <cell r="A38">
            <v>8</v>
          </cell>
          <cell r="B38" t="str">
            <v>Half brick masonary in common brunt clay building strength not less than 35 Kg./Sq.cm. In cement mortar 1:3 (1cement : 3 coarse sand) with 2 Nos. of 6 mm. Dia mild steel round bars after every three coarse embedded in cement mortar in foundation and plint</v>
          </cell>
          <cell r="C38" t="str">
            <v>Sqm</v>
          </cell>
          <cell r="D38">
            <v>21</v>
          </cell>
          <cell r="E38">
            <v>174.4</v>
          </cell>
          <cell r="F38">
            <v>3662.4</v>
          </cell>
          <cell r="G38">
            <v>21</v>
          </cell>
          <cell r="H38">
            <v>174.4</v>
          </cell>
          <cell r="I38">
            <v>3662.4</v>
          </cell>
          <cell r="J38">
            <v>0</v>
          </cell>
          <cell r="K38">
            <v>27.3</v>
          </cell>
          <cell r="L38">
            <v>27.3</v>
          </cell>
          <cell r="M38">
            <v>6.3</v>
          </cell>
          <cell r="N38">
            <v>144.64735999999999</v>
          </cell>
          <cell r="P38">
            <v>911.27836799999989</v>
          </cell>
          <cell r="Q38" t="str">
            <v>-</v>
          </cell>
          <cell r="R38" t="str">
            <v>-</v>
          </cell>
          <cell r="S38" t="str">
            <v>-</v>
          </cell>
        </row>
        <row r="40">
          <cell r="A40">
            <v>9</v>
          </cell>
          <cell r="B40" t="str">
            <v xml:space="preserve">Providing 15 mm thick Cement Plaster in single coat on fair sides of brick or concrete walls for interior plastering utpof floor two level finished veven and smooth in c m 1:4 (1 cement : 4 sand) for first floor level     </v>
          </cell>
          <cell r="C40" t="str">
            <v>Sqm</v>
          </cell>
          <cell r="D40">
            <v>298</v>
          </cell>
          <cell r="E40">
            <v>57.6</v>
          </cell>
          <cell r="F40">
            <v>17164.8</v>
          </cell>
          <cell r="G40">
            <v>298</v>
          </cell>
          <cell r="H40">
            <v>57.6</v>
          </cell>
          <cell r="I40">
            <v>17164.8</v>
          </cell>
          <cell r="J40">
            <v>0</v>
          </cell>
          <cell r="K40">
            <v>298</v>
          </cell>
          <cell r="L40">
            <v>298</v>
          </cell>
          <cell r="M40" t="str">
            <v>-</v>
          </cell>
          <cell r="N40" t="str">
            <v>-</v>
          </cell>
          <cell r="P40" t="str">
            <v>-</v>
          </cell>
          <cell r="Q40" t="str">
            <v>-</v>
          </cell>
          <cell r="R40" t="str">
            <v>-</v>
          </cell>
          <cell r="S40" t="str">
            <v>-</v>
          </cell>
        </row>
        <row r="42">
          <cell r="A42">
            <v>10</v>
          </cell>
          <cell r="B42" t="str">
            <v>Providing 10 mm thick Cement Plaster in single coat on fair sides of brick or concrete walls for interior plastering for first floor  level finished even and smooth in C M 1:4 ( 1 cement : 4 fine sand) including floating coat of neat cement slurry on cell</v>
          </cell>
          <cell r="C42" t="str">
            <v>Sqm</v>
          </cell>
          <cell r="D42">
            <v>155</v>
          </cell>
          <cell r="E42">
            <v>51.8</v>
          </cell>
          <cell r="F42">
            <v>8029</v>
          </cell>
          <cell r="G42">
            <v>155</v>
          </cell>
          <cell r="H42">
            <v>51.8</v>
          </cell>
          <cell r="I42">
            <v>8029</v>
          </cell>
          <cell r="J42">
            <v>0</v>
          </cell>
          <cell r="K42">
            <v>155</v>
          </cell>
          <cell r="L42">
            <v>155</v>
          </cell>
          <cell r="M42" t="str">
            <v>-</v>
          </cell>
          <cell r="N42" t="str">
            <v>-</v>
          </cell>
          <cell r="O42" t="str">
            <v>A</v>
          </cell>
          <cell r="P42" t="str">
            <v>-</v>
          </cell>
          <cell r="Q42" t="str">
            <v>-</v>
          </cell>
          <cell r="R42" t="str">
            <v>-</v>
          </cell>
          <cell r="S42" t="str">
            <v>-</v>
          </cell>
        </row>
        <row r="43">
          <cell r="M43">
            <v>18.3</v>
          </cell>
          <cell r="N43">
            <v>86</v>
          </cell>
          <cell r="O43" t="str">
            <v>B</v>
          </cell>
          <cell r="P43">
            <v>1573.8</v>
          </cell>
        </row>
        <row r="44">
          <cell r="A44">
            <v>11</v>
          </cell>
          <cell r="B44" t="str">
            <v>Brick work using common Brunt clay building bricks having crushing strength not less than 35 Kg./Sq.cm. In foundation and plinth in cement mortar 1:6 (1cement : 6 fine sand)</v>
          </cell>
          <cell r="C44" t="str">
            <v>Cum</v>
          </cell>
          <cell r="D44">
            <v>4.34</v>
          </cell>
          <cell r="E44">
            <v>1047.8</v>
          </cell>
          <cell r="F44">
            <v>4547.4519999999993</v>
          </cell>
          <cell r="G44">
            <v>4.34</v>
          </cell>
          <cell r="H44">
            <v>1047.8</v>
          </cell>
          <cell r="I44">
            <v>4547.4519999999993</v>
          </cell>
          <cell r="J44">
            <v>0</v>
          </cell>
          <cell r="K44">
            <v>4.3</v>
          </cell>
          <cell r="L44">
            <v>4.3</v>
          </cell>
          <cell r="M44" t="str">
            <v>-</v>
          </cell>
          <cell r="N44" t="str">
            <v>-</v>
          </cell>
          <cell r="P44" t="str">
            <v>-</v>
          </cell>
          <cell r="Q44" t="str">
            <v>-</v>
          </cell>
          <cell r="R44" t="str">
            <v>-</v>
          </cell>
          <cell r="S44" t="str">
            <v>-</v>
          </cell>
        </row>
        <row r="45">
          <cell r="N45">
            <v>50.78</v>
          </cell>
        </row>
        <row r="46">
          <cell r="A46">
            <v>14</v>
          </cell>
          <cell r="B46" t="str">
            <v>Providing and laying Kota stone slab flooring over 20 mm. (average thick base of cement mortar 1:6 (1 cement : 6 coarse sand ) of L.M. 1:1.5 and laid over and jointed with grey cement slurry including rubbing and polishing complete.</v>
          </cell>
          <cell r="C46" t="str">
            <v>Sqm</v>
          </cell>
          <cell r="D46">
            <v>98</v>
          </cell>
          <cell r="E46">
            <v>400</v>
          </cell>
          <cell r="F46">
            <v>39200</v>
          </cell>
          <cell r="G46">
            <v>98</v>
          </cell>
          <cell r="H46">
            <v>400</v>
          </cell>
          <cell r="I46">
            <v>39200</v>
          </cell>
          <cell r="J46">
            <v>0</v>
          </cell>
          <cell r="K46">
            <v>110</v>
          </cell>
          <cell r="L46">
            <v>110</v>
          </cell>
          <cell r="M46">
            <v>12</v>
          </cell>
          <cell r="N46">
            <v>8.6630680000000009</v>
          </cell>
          <cell r="P46">
            <v>4800</v>
          </cell>
          <cell r="Q46" t="str">
            <v>-</v>
          </cell>
          <cell r="R46" t="str">
            <v>-</v>
          </cell>
          <cell r="S46" t="str">
            <v>-</v>
          </cell>
        </row>
        <row r="47">
          <cell r="A47">
            <v>12</v>
          </cell>
          <cell r="B47" t="str">
            <v>Providing 10 mm thick Cement Plaster in single coat on fair sides of brick or concrete walls for interior plastering for first floor  level finished even and smooth in C M 1:4 ( 1 cement : 4 fine sand) including floating coat of neat cement slurry on cell</v>
          </cell>
          <cell r="C47" t="str">
            <v>Sqm</v>
          </cell>
          <cell r="D47">
            <v>29</v>
          </cell>
          <cell r="E47">
            <v>50.78</v>
          </cell>
          <cell r="F47">
            <v>1472.6200000000001</v>
          </cell>
          <cell r="G47">
            <v>29</v>
          </cell>
          <cell r="H47">
            <v>50.78</v>
          </cell>
          <cell r="I47">
            <v>1472.6200000000001</v>
          </cell>
          <cell r="J47">
            <v>0</v>
          </cell>
          <cell r="K47">
            <v>37.700000000000003</v>
          </cell>
          <cell r="L47">
            <v>37.700000000000003</v>
          </cell>
          <cell r="M47">
            <v>8.7000000000000028</v>
          </cell>
          <cell r="N47">
            <v>42.116931999999998</v>
          </cell>
          <cell r="P47">
            <v>366.41730840000008</v>
          </cell>
          <cell r="Q47" t="str">
            <v>-</v>
          </cell>
          <cell r="R47" t="str">
            <v>-</v>
          </cell>
          <cell r="S47" t="str">
            <v>-</v>
          </cell>
        </row>
        <row r="48">
          <cell r="A48">
            <v>15</v>
          </cell>
          <cell r="B48" t="str">
            <v>Providing and laying white glazed tiles 6 mm. Thick inflooring treads of steps and landings laid on a Bed of 12 mm. Thick cement mortar 1:3 (1 cement : 3 coarse sand) pointing in white ceand jointed with white cement slurry.</v>
          </cell>
          <cell r="C48" t="str">
            <v>Sqm</v>
          </cell>
          <cell r="D48">
            <v>3.2</v>
          </cell>
          <cell r="E48">
            <v>483</v>
          </cell>
          <cell r="F48">
            <v>1545.6000000000001</v>
          </cell>
          <cell r="G48">
            <v>3.2</v>
          </cell>
          <cell r="H48">
            <v>483</v>
          </cell>
          <cell r="I48">
            <v>1545.6000000000001</v>
          </cell>
          <cell r="J48">
            <v>0</v>
          </cell>
          <cell r="K48">
            <v>0</v>
          </cell>
          <cell r="L48">
            <v>0</v>
          </cell>
          <cell r="M48" t="str">
            <v>-</v>
          </cell>
          <cell r="N48">
            <v>86</v>
          </cell>
          <cell r="P48" t="str">
            <v>-</v>
          </cell>
          <cell r="Q48">
            <v>3.2</v>
          </cell>
          <cell r="R48">
            <v>483</v>
          </cell>
          <cell r="S48">
            <v>1545.6000000000001</v>
          </cell>
        </row>
        <row r="49">
          <cell r="N49">
            <v>14.6716</v>
          </cell>
        </row>
        <row r="50">
          <cell r="A50">
            <v>13</v>
          </cell>
          <cell r="B50" t="str">
            <v xml:space="preserve">20 mm thick Sand Faced plaster on walls upto height 10 Mt above ground Level consisting of 12 mm thick backing coat of CM 1:3 ( 1 cement : 3 Sand ) and 8 mm thick finishing coat of CM  1:1 ( 1 cement : sand) etc complete                                   </v>
          </cell>
          <cell r="C50" t="str">
            <v>Sqm</v>
          </cell>
          <cell r="D50">
            <v>109</v>
          </cell>
          <cell r="E50">
            <v>86</v>
          </cell>
          <cell r="F50">
            <v>9374</v>
          </cell>
          <cell r="G50">
            <v>109</v>
          </cell>
          <cell r="H50">
            <v>86</v>
          </cell>
          <cell r="I50">
            <v>9374</v>
          </cell>
          <cell r="J50">
            <v>0</v>
          </cell>
          <cell r="K50">
            <v>160</v>
          </cell>
          <cell r="L50">
            <v>160</v>
          </cell>
          <cell r="M50">
            <v>32.700000000000003</v>
          </cell>
          <cell r="N50">
            <v>71.328400000000002</v>
          </cell>
          <cell r="P50">
            <v>2332.4386800000002</v>
          </cell>
          <cell r="Q50" t="str">
            <v>-</v>
          </cell>
          <cell r="R50" t="str">
            <v>-</v>
          </cell>
          <cell r="S50" t="str">
            <v>-</v>
          </cell>
        </row>
        <row r="51">
          <cell r="M51">
            <v>18.3</v>
          </cell>
          <cell r="N51">
            <v>86</v>
          </cell>
          <cell r="P51">
            <v>1573.8</v>
          </cell>
        </row>
        <row r="52">
          <cell r="A52">
            <v>17</v>
          </cell>
          <cell r="B52" t="str">
            <v xml:space="preserve">Providing and fixing Aluminum glazed Windows having medium heavy section of 20mm aluminum section with approved quality frosted glass including fixture and fastenings like handle lock stopper etc comp    </v>
          </cell>
          <cell r="C52" t="str">
            <v>Sqm</v>
          </cell>
          <cell r="D52">
            <v>5.04</v>
          </cell>
          <cell r="E52">
            <v>1500</v>
          </cell>
          <cell r="F52">
            <v>7560</v>
          </cell>
          <cell r="G52">
            <v>5.04</v>
          </cell>
          <cell r="H52">
            <v>1500</v>
          </cell>
          <cell r="I52">
            <v>7560</v>
          </cell>
          <cell r="J52">
            <v>0</v>
          </cell>
          <cell r="K52">
            <v>5.4</v>
          </cell>
          <cell r="L52">
            <v>5.4</v>
          </cell>
          <cell r="M52">
            <v>51</v>
          </cell>
          <cell r="N52" t="str">
            <v>(It 17.95 Pg 92)</v>
          </cell>
          <cell r="P52">
            <v>3906.2386800000004</v>
          </cell>
          <cell r="Q52" t="str">
            <v>-</v>
          </cell>
          <cell r="R52" t="str">
            <v>-</v>
          </cell>
          <cell r="S52" t="str">
            <v>-</v>
          </cell>
        </row>
        <row r="53">
          <cell r="N53">
            <v>400</v>
          </cell>
        </row>
        <row r="54">
          <cell r="A54">
            <v>18</v>
          </cell>
          <cell r="B54" t="str">
            <v>Providing &amp; fixing 35 mm. Thick shutters for doors windows and clearstory windows including Inidan teak wood frames 12 cm. x 7 cm. Size including black enamelled iron oxidise Fixtures &amp; Fastenings including primer coat of approved quality and two coats of</v>
          </cell>
          <cell r="C54" t="str">
            <v>Sqm</v>
          </cell>
          <cell r="D54">
            <v>4</v>
          </cell>
          <cell r="E54">
            <v>2917</v>
          </cell>
          <cell r="F54">
            <v>11668</v>
          </cell>
          <cell r="G54">
            <v>4</v>
          </cell>
          <cell r="H54">
            <v>2917</v>
          </cell>
          <cell r="I54">
            <v>11668</v>
          </cell>
          <cell r="J54">
            <v>3.78</v>
          </cell>
          <cell r="K54">
            <v>3.78</v>
          </cell>
          <cell r="L54">
            <v>7.56</v>
          </cell>
          <cell r="M54">
            <v>1.2</v>
          </cell>
          <cell r="N54">
            <v>68.239999999999995</v>
          </cell>
          <cell r="O54" t="str">
            <v>A</v>
          </cell>
          <cell r="P54">
            <v>3500.4</v>
          </cell>
          <cell r="Q54" t="str">
            <v>-</v>
          </cell>
          <cell r="R54" t="str">
            <v>-</v>
          </cell>
          <cell r="S54" t="str">
            <v>-</v>
          </cell>
        </row>
        <row r="55">
          <cell r="A55">
            <v>14</v>
          </cell>
          <cell r="B55" t="str">
            <v>Providing and laying Kota stone slab flooring over 20 mm. (average thick base of cement mortar 1:6 (1 cement : 6 coarse sand ) of L.M. 1:1.5 and laid over and jointed with grey cement slurry including rubbing and polishing complete.</v>
          </cell>
          <cell r="C55" t="str">
            <v>Sqm</v>
          </cell>
          <cell r="D55">
            <v>98</v>
          </cell>
          <cell r="E55">
            <v>400</v>
          </cell>
          <cell r="F55">
            <v>39200</v>
          </cell>
          <cell r="G55">
            <v>98</v>
          </cell>
          <cell r="H55">
            <v>400</v>
          </cell>
          <cell r="I55">
            <v>39200</v>
          </cell>
          <cell r="J55">
            <v>0</v>
          </cell>
          <cell r="K55">
            <v>110</v>
          </cell>
          <cell r="L55">
            <v>110</v>
          </cell>
          <cell r="M55">
            <v>12</v>
          </cell>
          <cell r="N55">
            <v>331.76</v>
          </cell>
          <cell r="O55" t="str">
            <v>B</v>
          </cell>
          <cell r="P55" t="str">
            <v>-</v>
          </cell>
          <cell r="Q55" t="str">
            <v>-</v>
          </cell>
          <cell r="R55" t="str">
            <v>-</v>
          </cell>
          <cell r="S55" t="str">
            <v>-</v>
          </cell>
        </row>
        <row r="56">
          <cell r="M56" t="str">
            <v/>
          </cell>
          <cell r="N56" t="str">
            <v>(It 32.0.0(2) Pg 68)</v>
          </cell>
          <cell r="P56">
            <v>10384.52</v>
          </cell>
        </row>
        <row r="57">
          <cell r="A57">
            <v>15</v>
          </cell>
          <cell r="B57" t="str">
            <v>Providing and laying white glazed tiles 6 mm. Thick inflooring treads of steps and landings laid on a Bed of 12 mm. Thick cement mortar 1:3 (1 cement : 3 coarse sand) pointing in white ceand jointed with white cement slurry.</v>
          </cell>
          <cell r="C57" t="str">
            <v>Sqm</v>
          </cell>
          <cell r="D57">
            <v>3.2</v>
          </cell>
          <cell r="E57">
            <v>483</v>
          </cell>
          <cell r="F57">
            <v>1545.6000000000001</v>
          </cell>
          <cell r="G57">
            <v>3.2</v>
          </cell>
          <cell r="H57">
            <v>483</v>
          </cell>
          <cell r="I57">
            <v>1545.6000000000001</v>
          </cell>
          <cell r="J57">
            <v>0</v>
          </cell>
          <cell r="K57">
            <v>0</v>
          </cell>
          <cell r="L57">
            <v>0</v>
          </cell>
          <cell r="M57" t="str">
            <v>-</v>
          </cell>
          <cell r="N57" t="str">
            <v>-</v>
          </cell>
          <cell r="P57" t="str">
            <v>-</v>
          </cell>
          <cell r="Q57">
            <v>3.2</v>
          </cell>
          <cell r="R57">
            <v>483</v>
          </cell>
          <cell r="S57">
            <v>1545.6000000000001</v>
          </cell>
        </row>
        <row r="58">
          <cell r="A58">
            <v>19</v>
          </cell>
          <cell r="B58" t="str">
            <v>Providing &amp; fixing 35 mm. Thick shutters for doors windows and clearstory windows including Inidan teak wood frames 10 cm. x 7 cm. Size including anodized alluminium fixtures &amp; fastenings including primer coat of approved quality and two coats of oil pain</v>
          </cell>
          <cell r="C58" t="str">
            <v>Sqm</v>
          </cell>
          <cell r="D58">
            <v>3.4</v>
          </cell>
          <cell r="E58">
            <v>2775</v>
          </cell>
          <cell r="F58">
            <v>9435</v>
          </cell>
          <cell r="G58">
            <v>3.4</v>
          </cell>
          <cell r="H58">
            <v>2775</v>
          </cell>
          <cell r="I58">
            <v>9435</v>
          </cell>
          <cell r="J58">
            <v>4.4000000000000004</v>
          </cell>
          <cell r="K58">
            <v>0</v>
          </cell>
          <cell r="L58">
            <v>4.4000000000000004</v>
          </cell>
          <cell r="M58">
            <v>1</v>
          </cell>
          <cell r="N58">
            <v>2775</v>
          </cell>
          <cell r="P58">
            <v>2775</v>
          </cell>
          <cell r="Q58" t="str">
            <v>-</v>
          </cell>
          <cell r="R58" t="str">
            <v>-</v>
          </cell>
          <cell r="S58" t="str">
            <v>-</v>
          </cell>
        </row>
        <row r="59">
          <cell r="A59">
            <v>16</v>
          </cell>
          <cell r="B59" t="str">
            <v>Providing and laying white glazed tiles 6 mm. Thick in skirting risers of steps and dado on 10 mm. Thick cement plaster 1:3 (1 cement : 3 coarse sand) pointing in white ceand jointed with white cement slurry.</v>
          </cell>
          <cell r="C59" t="str">
            <v>Sqm</v>
          </cell>
          <cell r="D59">
            <v>8.4600000000000009</v>
          </cell>
          <cell r="E59">
            <v>491</v>
          </cell>
          <cell r="F59">
            <v>4153.8600000000006</v>
          </cell>
          <cell r="G59">
            <v>8.4600000000000009</v>
          </cell>
          <cell r="H59">
            <v>491</v>
          </cell>
          <cell r="I59">
            <v>4153.8600000000006</v>
          </cell>
          <cell r="J59">
            <v>0</v>
          </cell>
          <cell r="K59">
            <v>0</v>
          </cell>
          <cell r="L59">
            <v>0</v>
          </cell>
          <cell r="M59" t="str">
            <v>-</v>
          </cell>
          <cell r="N59" t="str">
            <v>-</v>
          </cell>
          <cell r="P59" t="str">
            <v>-</v>
          </cell>
          <cell r="Q59">
            <v>8.4600000000000009</v>
          </cell>
          <cell r="R59">
            <v>491</v>
          </cell>
          <cell r="S59">
            <v>4153.8600000000006</v>
          </cell>
        </row>
        <row r="60">
          <cell r="A60">
            <v>20</v>
          </cell>
          <cell r="B60" t="str">
            <v>Providing &amp; fixing M.S. grills of required pattern to wooden frames of windows etc. with M.S. flats at required spacings and frame alround square or round bars with round headed bolts and nuts or by screws.</v>
          </cell>
          <cell r="C60" t="str">
            <v>Kg</v>
          </cell>
          <cell r="D60">
            <v>213</v>
          </cell>
          <cell r="E60">
            <v>28</v>
          </cell>
          <cell r="F60">
            <v>5964</v>
          </cell>
          <cell r="G60">
            <v>213</v>
          </cell>
          <cell r="H60">
            <v>28</v>
          </cell>
          <cell r="I60">
            <v>5964</v>
          </cell>
          <cell r="J60">
            <v>0</v>
          </cell>
          <cell r="K60">
            <v>213</v>
          </cell>
          <cell r="L60">
            <v>213</v>
          </cell>
          <cell r="M60" t="str">
            <v>-</v>
          </cell>
          <cell r="N60" t="str">
            <v>-</v>
          </cell>
          <cell r="P60" t="str">
            <v>-</v>
          </cell>
          <cell r="Q60" t="str">
            <v>-</v>
          </cell>
          <cell r="R60" t="str">
            <v>-</v>
          </cell>
          <cell r="S60" t="str">
            <v>-</v>
          </cell>
        </row>
        <row r="61">
          <cell r="A61">
            <v>17</v>
          </cell>
          <cell r="B61" t="str">
            <v xml:space="preserve">Providing and fixing Aluminum glazed Windows having medium heavy section of 20mm aluminum section with approved quality frosted glass including fixture and fastenings like handle lock stopper etc comp    </v>
          </cell>
          <cell r="C61" t="str">
            <v>Sqm</v>
          </cell>
          <cell r="D61">
            <v>5.4</v>
          </cell>
          <cell r="E61">
            <v>1500</v>
          </cell>
          <cell r="F61">
            <v>8100.0000000000009</v>
          </cell>
          <cell r="G61">
            <v>5.4</v>
          </cell>
          <cell r="H61">
            <v>1500</v>
          </cell>
          <cell r="I61">
            <v>8100.0000000000009</v>
          </cell>
          <cell r="J61">
            <v>0</v>
          </cell>
          <cell r="K61">
            <v>5.4</v>
          </cell>
          <cell r="L61">
            <v>5.4</v>
          </cell>
          <cell r="M61" t="str">
            <v>-</v>
          </cell>
          <cell r="N61" t="str">
            <v>-</v>
          </cell>
          <cell r="P61" t="str">
            <v>-</v>
          </cell>
          <cell r="Q61" t="str">
            <v>-</v>
          </cell>
          <cell r="R61" t="str">
            <v>-</v>
          </cell>
          <cell r="S61" t="str">
            <v>-</v>
          </cell>
        </row>
        <row r="62">
          <cell r="F62">
            <v>390346.7622</v>
          </cell>
          <cell r="I62">
            <v>438974.0269</v>
          </cell>
          <cell r="N62">
            <v>2917</v>
          </cell>
          <cell r="P62">
            <v>56558.436000000002</v>
          </cell>
          <cell r="R62" t="str">
            <v>Total</v>
          </cell>
          <cell r="S62">
            <v>172395.60490000003</v>
          </cell>
        </row>
        <row r="63">
          <cell r="N63">
            <v>497.64019999999999</v>
          </cell>
          <cell r="P63">
            <v>9648.869181600001</v>
          </cell>
        </row>
        <row r="64">
          <cell r="A64">
            <v>18</v>
          </cell>
          <cell r="B64" t="str">
            <v>Providing &amp; fixing 35 mm. Thick shutters for doors windows and clearstory windows including Inidan teak wood frames 12 cm. x 7 cm. Size including black enamelled iron oxidise Fixtures &amp; Fastenings including primer coat of approved quality and two coats of</v>
          </cell>
          <cell r="C64" t="str">
            <v>Sqm</v>
          </cell>
          <cell r="D64">
            <v>4</v>
          </cell>
          <cell r="E64">
            <v>2917</v>
          </cell>
          <cell r="F64">
            <v>11668</v>
          </cell>
          <cell r="G64">
            <v>4</v>
          </cell>
          <cell r="H64">
            <v>2917</v>
          </cell>
          <cell r="I64">
            <v>11668</v>
          </cell>
          <cell r="J64">
            <v>3.78</v>
          </cell>
          <cell r="K64">
            <v>3.78</v>
          </cell>
          <cell r="L64">
            <v>7.56</v>
          </cell>
          <cell r="M64">
            <v>1.2</v>
          </cell>
          <cell r="N64">
            <v>2419.3598000000002</v>
          </cell>
          <cell r="O64" t="str">
            <v>A</v>
          </cell>
          <cell r="P64">
            <v>2903.2317600000001</v>
          </cell>
          <cell r="Q64" t="str">
            <v>-</v>
          </cell>
          <cell r="R64" t="str">
            <v>-</v>
          </cell>
          <cell r="S64" t="str">
            <v>-</v>
          </cell>
        </row>
        <row r="65">
          <cell r="G65" t="str">
            <v>Less 17.06% Below</v>
          </cell>
          <cell r="I65">
            <v>74888.968989140005</v>
          </cell>
          <cell r="M65">
            <v>2.36</v>
          </cell>
          <cell r="N65">
            <v>2917</v>
          </cell>
          <cell r="O65" t="str">
            <v>B</v>
          </cell>
          <cell r="P65">
            <v>6884.12</v>
          </cell>
        </row>
        <row r="66">
          <cell r="H66" t="str">
            <v>Total</v>
          </cell>
          <cell r="I66">
            <v>364085.05791085999</v>
          </cell>
          <cell r="M66">
            <v>3.5599999999999996</v>
          </cell>
          <cell r="N66" t="str">
            <v>(It 32.0.0(2) Pg 68)</v>
          </cell>
          <cell r="P66">
            <v>9787.3517599999996</v>
          </cell>
        </row>
        <row r="67">
          <cell r="N67">
            <v>2775</v>
          </cell>
        </row>
        <row r="68">
          <cell r="F68">
            <v>373517.59</v>
          </cell>
          <cell r="G68" t="str">
            <v>Tender Cost</v>
          </cell>
          <cell r="N68">
            <v>473.41500000000002</v>
          </cell>
          <cell r="P68">
            <v>75296.106818400003</v>
          </cell>
        </row>
        <row r="69">
          <cell r="A69">
            <v>19</v>
          </cell>
          <cell r="B69" t="str">
            <v>Providing &amp; fixing 35 mm. Thick shutters for doors windows and clearstory windows including Inidan teak wood frames 10 cm. x 7 cm. Size including anodized alluminium fixtures &amp; fastenings including primer coat of approved quality and two coats of oil pain</v>
          </cell>
          <cell r="C69" t="str">
            <v>Sqm</v>
          </cell>
          <cell r="D69">
            <v>3.4</v>
          </cell>
          <cell r="E69">
            <v>2775</v>
          </cell>
          <cell r="F69">
            <v>9435</v>
          </cell>
          <cell r="G69">
            <v>3.4</v>
          </cell>
          <cell r="H69">
            <v>2775</v>
          </cell>
          <cell r="I69">
            <v>9435</v>
          </cell>
          <cell r="J69">
            <v>4.4000000000000004</v>
          </cell>
          <cell r="K69">
            <v>0</v>
          </cell>
          <cell r="L69">
            <v>4.4000000000000004</v>
          </cell>
          <cell r="M69">
            <v>1</v>
          </cell>
          <cell r="N69">
            <v>2301.585</v>
          </cell>
          <cell r="O69" t="str">
            <v>-</v>
          </cell>
          <cell r="P69">
            <v>2301.585</v>
          </cell>
          <cell r="Q69" t="str">
            <v>-</v>
          </cell>
          <cell r="R69" t="str">
            <v>-</v>
          </cell>
          <cell r="S69" t="str">
            <v>-</v>
          </cell>
        </row>
        <row r="70">
          <cell r="F70">
            <v>276418.09191840002</v>
          </cell>
          <cell r="G70" t="str">
            <v>Gross Work Done</v>
          </cell>
          <cell r="P70">
            <v>-97099.498081600032</v>
          </cell>
        </row>
        <row r="71">
          <cell r="A71">
            <v>20</v>
          </cell>
          <cell r="B71" t="str">
            <v>Providing &amp; fixing M.S. grills of required pattern to wooden frames of windows etc. with M.S. flats at required spacings and frame alround square or round bars with round headed bolts and nuts or by screws.</v>
          </cell>
          <cell r="C71" t="str">
            <v>Kg</v>
          </cell>
          <cell r="D71">
            <v>213</v>
          </cell>
          <cell r="E71">
            <v>28</v>
          </cell>
          <cell r="F71">
            <v>5964</v>
          </cell>
          <cell r="G71">
            <v>213</v>
          </cell>
          <cell r="H71">
            <v>28</v>
          </cell>
          <cell r="I71">
            <v>5964</v>
          </cell>
          <cell r="J71">
            <v>0</v>
          </cell>
          <cell r="K71">
            <v>213</v>
          </cell>
          <cell r="L71">
            <v>213</v>
          </cell>
          <cell r="M71" t="str">
            <v>-</v>
          </cell>
          <cell r="N71" t="str">
            <v>-</v>
          </cell>
          <cell r="P71" t="str">
            <v>-</v>
          </cell>
          <cell r="Q71" t="str">
            <v>-</v>
          </cell>
          <cell r="R71" t="str">
            <v>-</v>
          </cell>
          <cell r="S71" t="str">
            <v>-</v>
          </cell>
        </row>
        <row r="72">
          <cell r="F72">
            <v>-113928.67028159997</v>
          </cell>
          <cell r="G72" t="str">
            <v>Net Saving than Est. cost</v>
          </cell>
        </row>
      </sheetData>
      <sheetData sheetId="8"/>
      <sheetData sheetId="9"/>
      <sheetData sheetId="1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Col-250 1st"/>
      <sheetName val="RA Col-250 2nd"/>
      <sheetName val="RA Beam-200 1st"/>
      <sheetName val="RA Slab 1st"/>
      <sheetName val="RA Slab 1st (2)"/>
      <sheetName val="mest.footing"/>
      <sheetName val="Gujarati - 1"/>
      <sheetName val="Excess"/>
      <sheetName val="Ex.Eng."/>
      <sheetName val="S.E."/>
      <sheetName val="C.E"/>
    </sheetNames>
    <sheetDataSet>
      <sheetData sheetId="0"/>
      <sheetData sheetId="1"/>
      <sheetData sheetId="2"/>
      <sheetData sheetId="3"/>
      <sheetData sheetId="4"/>
      <sheetData sheetId="5"/>
      <sheetData sheetId="6"/>
      <sheetData sheetId="7">
        <row r="6">
          <cell r="A6" t="str">
            <v>It. No</v>
          </cell>
          <cell r="B6" t="str">
            <v>Item                Description</v>
          </cell>
          <cell r="C6" t="str">
            <v>Unit</v>
          </cell>
          <cell r="D6" t="str">
            <v>As Per Estimate</v>
          </cell>
          <cell r="G6" t="str">
            <v>AS per Tender</v>
          </cell>
          <cell r="J6" t="str">
            <v>Qty executed as on</v>
          </cell>
          <cell r="K6" t="str">
            <v>Further Qty tobe Execute</v>
          </cell>
          <cell r="L6" t="str">
            <v>Total Anticipated Qty</v>
          </cell>
          <cell r="M6" t="str">
            <v xml:space="preserve">Excess </v>
          </cell>
          <cell r="Q6" t="str">
            <v>Saving</v>
          </cell>
        </row>
        <row r="7">
          <cell r="D7" t="str">
            <v xml:space="preserve">Qty </v>
          </cell>
          <cell r="E7" t="str">
            <v xml:space="preserve">Rate </v>
          </cell>
          <cell r="F7" t="str">
            <v>Amount</v>
          </cell>
          <cell r="G7" t="str">
            <v xml:space="preserve">Qty </v>
          </cell>
          <cell r="H7" t="str">
            <v xml:space="preserve">Rate </v>
          </cell>
          <cell r="I7" t="str">
            <v>Amount</v>
          </cell>
          <cell r="M7" t="str">
            <v xml:space="preserve">Qty </v>
          </cell>
          <cell r="N7" t="str">
            <v>Rate</v>
          </cell>
          <cell r="P7" t="str">
            <v>Amount</v>
          </cell>
          <cell r="Q7" t="str">
            <v xml:space="preserve">Qty </v>
          </cell>
          <cell r="R7" t="str">
            <v>Rate</v>
          </cell>
          <cell r="S7" t="str">
            <v>Amount</v>
          </cell>
        </row>
        <row r="8">
          <cell r="A8">
            <v>1</v>
          </cell>
          <cell r="B8">
            <v>2</v>
          </cell>
          <cell r="D8">
            <v>3</v>
          </cell>
          <cell r="E8">
            <v>4</v>
          </cell>
          <cell r="F8">
            <v>5</v>
          </cell>
          <cell r="G8">
            <v>6</v>
          </cell>
          <cell r="H8">
            <v>7</v>
          </cell>
          <cell r="I8">
            <v>8</v>
          </cell>
          <cell r="J8">
            <v>9</v>
          </cell>
          <cell r="K8">
            <v>10</v>
          </cell>
          <cell r="L8">
            <v>11</v>
          </cell>
          <cell r="M8">
            <v>12</v>
          </cell>
          <cell r="N8">
            <v>13</v>
          </cell>
          <cell r="P8">
            <v>14</v>
          </cell>
          <cell r="Q8">
            <v>15</v>
          </cell>
          <cell r="R8">
            <v>16</v>
          </cell>
          <cell r="S8">
            <v>17</v>
          </cell>
        </row>
        <row r="10">
          <cell r="A10" t="str">
            <v>1a</v>
          </cell>
          <cell r="B10" t="str">
            <v>Providing and laying controlled cement concrete M 150  with curing etc complete inculding the cost of formwork but excluding the cost of reinforcement for  R.C.C.Work in walls For First Floor</v>
          </cell>
          <cell r="C10" t="str">
            <v>Cum</v>
          </cell>
          <cell r="D10">
            <v>30.27</v>
          </cell>
          <cell r="E10">
            <v>2202.3200000000002</v>
          </cell>
          <cell r="F10">
            <v>66664.2264</v>
          </cell>
          <cell r="G10">
            <v>30.27</v>
          </cell>
          <cell r="H10">
            <v>2202.3200000000002</v>
          </cell>
          <cell r="I10">
            <v>66664.2264</v>
          </cell>
          <cell r="J10">
            <v>0</v>
          </cell>
          <cell r="K10">
            <v>0</v>
          </cell>
          <cell r="L10">
            <v>0</v>
          </cell>
          <cell r="M10" t="str">
            <v>-</v>
          </cell>
          <cell r="N10" t="str">
            <v>-</v>
          </cell>
          <cell r="P10" t="str">
            <v>-</v>
          </cell>
          <cell r="Q10">
            <v>30.27</v>
          </cell>
          <cell r="R10">
            <v>2202.3200000000002</v>
          </cell>
          <cell r="S10">
            <v>66664.2264</v>
          </cell>
        </row>
        <row r="12">
          <cell r="A12" t="str">
            <v>1b</v>
          </cell>
          <cell r="B12" t="str">
            <v>Providing and laying controlled cement concrete M 150  with curing etc complete inculding the cost of formwork but excluding the cost of reinforcement for  R.C.C.Work in column  For Second floor</v>
          </cell>
          <cell r="C12" t="str">
            <v>Cum</v>
          </cell>
          <cell r="D12">
            <v>4.82</v>
          </cell>
          <cell r="E12">
            <v>2486.75</v>
          </cell>
          <cell r="F12">
            <v>11986.135</v>
          </cell>
          <cell r="G12">
            <v>4.82</v>
          </cell>
          <cell r="H12">
            <v>2486.75</v>
          </cell>
          <cell r="I12">
            <v>11986.135</v>
          </cell>
          <cell r="J12">
            <v>0</v>
          </cell>
          <cell r="K12">
            <v>0</v>
          </cell>
          <cell r="L12">
            <v>0</v>
          </cell>
          <cell r="M12" t="str">
            <v>-</v>
          </cell>
          <cell r="N12" t="str">
            <v>-</v>
          </cell>
          <cell r="P12" t="str">
            <v>-</v>
          </cell>
          <cell r="Q12">
            <v>4.82</v>
          </cell>
          <cell r="R12">
            <v>2486.75</v>
          </cell>
          <cell r="S12">
            <v>11986.135</v>
          </cell>
        </row>
        <row r="13">
          <cell r="A13" t="str">
            <v>1b</v>
          </cell>
          <cell r="B13" t="str">
            <v>Providing and laying controlled cement concrete M 150  with curing etc complete inculding the cost of formwork but excluding the cost of reinforcement for  R.C.C.Work in column  For Second floor</v>
          </cell>
          <cell r="C13" t="str">
            <v>Cum</v>
          </cell>
          <cell r="D13">
            <v>4.82</v>
          </cell>
          <cell r="E13">
            <v>2486.75</v>
          </cell>
          <cell r="F13">
            <v>11986.135</v>
          </cell>
          <cell r="G13">
            <v>4.82</v>
          </cell>
          <cell r="H13">
            <v>2486.75</v>
          </cell>
          <cell r="I13">
            <v>11986.135</v>
          </cell>
          <cell r="J13">
            <v>0</v>
          </cell>
          <cell r="K13">
            <v>0</v>
          </cell>
          <cell r="L13">
            <v>0</v>
          </cell>
          <cell r="M13" t="str">
            <v>-</v>
          </cell>
          <cell r="N13" t="str">
            <v>-</v>
          </cell>
          <cell r="P13" t="str">
            <v>-</v>
          </cell>
          <cell r="Q13">
            <v>4.82</v>
          </cell>
          <cell r="R13">
            <v>2486.75</v>
          </cell>
          <cell r="S13">
            <v>11986.135</v>
          </cell>
        </row>
        <row r="14">
          <cell r="A14">
            <v>2</v>
          </cell>
          <cell r="B14" t="str">
            <v>Providing and laying controlled cement concrete M / 150  with curing etc complete inculding the cost of formwork but excluding the cost of reinforcement for R.C.C.Work in Beams for First Floor.</v>
          </cell>
          <cell r="C14" t="str">
            <v>Cum</v>
          </cell>
          <cell r="D14">
            <v>8</v>
          </cell>
          <cell r="E14">
            <v>2460.3000000000002</v>
          </cell>
          <cell r="F14">
            <v>19682.400000000001</v>
          </cell>
          <cell r="G14">
            <v>8</v>
          </cell>
          <cell r="H14">
            <v>2460.3000000000002</v>
          </cell>
          <cell r="I14">
            <v>19682.400000000001</v>
          </cell>
          <cell r="J14">
            <v>0</v>
          </cell>
          <cell r="K14">
            <v>0</v>
          </cell>
          <cell r="L14">
            <v>0</v>
          </cell>
          <cell r="M14" t="str">
            <v>-</v>
          </cell>
          <cell r="N14" t="str">
            <v>-</v>
          </cell>
          <cell r="P14" t="str">
            <v>-</v>
          </cell>
          <cell r="Q14">
            <v>8</v>
          </cell>
          <cell r="R14">
            <v>2460.3000000000002</v>
          </cell>
          <cell r="S14">
            <v>19682.400000000001</v>
          </cell>
        </row>
        <row r="15">
          <cell r="A15">
            <v>2</v>
          </cell>
          <cell r="B15" t="str">
            <v>Providing and laying controlled cement concrete M / 150  with curing etc complete inculding the cost of formwork but excluding the cost of reinforcement for R.C.C.Work in Beams for First Floor.</v>
          </cell>
          <cell r="C15" t="str">
            <v>Cum</v>
          </cell>
          <cell r="D15">
            <v>8</v>
          </cell>
          <cell r="E15">
            <v>2460.3000000000002</v>
          </cell>
          <cell r="F15">
            <v>19682.400000000001</v>
          </cell>
          <cell r="G15">
            <v>8</v>
          </cell>
          <cell r="H15">
            <v>2460.3000000000002</v>
          </cell>
          <cell r="I15">
            <v>19682.400000000001</v>
          </cell>
          <cell r="J15">
            <v>0</v>
          </cell>
          <cell r="K15">
            <v>0</v>
          </cell>
          <cell r="L15">
            <v>0</v>
          </cell>
          <cell r="M15" t="str">
            <v>-</v>
          </cell>
          <cell r="N15" t="str">
            <v>-</v>
          </cell>
          <cell r="P15" t="str">
            <v>-</v>
          </cell>
          <cell r="Q15">
            <v>8</v>
          </cell>
          <cell r="R15">
            <v>2460.3000000000002</v>
          </cell>
          <cell r="S15">
            <v>19682.400000000001</v>
          </cell>
        </row>
        <row r="16">
          <cell r="A16" t="str">
            <v>3a</v>
          </cell>
          <cell r="B16" t="str">
            <v>Providing laying controlled cement concrete M-150 and curing complete including the cost of form work and excluding the cost of reinforcement for reinforced concrete work in : SLAB, more than 20 cm thick ness (FF)</v>
          </cell>
          <cell r="C16" t="str">
            <v>Cum</v>
          </cell>
          <cell r="D16">
            <v>18.77</v>
          </cell>
          <cell r="E16">
            <v>2080.6999999999998</v>
          </cell>
          <cell r="F16">
            <v>39054.738999999994</v>
          </cell>
          <cell r="G16">
            <v>18.77</v>
          </cell>
          <cell r="H16">
            <v>2080.6999999999998</v>
          </cell>
          <cell r="I16">
            <v>39054.738999999994</v>
          </cell>
          <cell r="J16">
            <v>0</v>
          </cell>
          <cell r="K16">
            <v>0</v>
          </cell>
          <cell r="L16">
            <v>0</v>
          </cell>
          <cell r="M16" t="str">
            <v>-</v>
          </cell>
          <cell r="N16" t="str">
            <v>-</v>
          </cell>
          <cell r="P16" t="str">
            <v>-</v>
          </cell>
          <cell r="Q16">
            <v>18.77</v>
          </cell>
          <cell r="R16">
            <v>2080.6999999999998</v>
          </cell>
          <cell r="S16">
            <v>39054.738999999994</v>
          </cell>
        </row>
        <row r="17">
          <cell r="A17" t="str">
            <v>3a</v>
          </cell>
          <cell r="B17" t="str">
            <v>Providing laying controlled cement concrete M-150 and curing complete including the cost of form work and excluding the cost of reinforcement for reinforced concrete work in : SLAB, more than 20 cm thick ness (FF)</v>
          </cell>
          <cell r="C17" t="str">
            <v>Cum</v>
          </cell>
          <cell r="D17">
            <v>18.77</v>
          </cell>
          <cell r="E17">
            <v>2080.6999999999998</v>
          </cell>
          <cell r="F17">
            <v>39054.738999999994</v>
          </cell>
          <cell r="G17">
            <v>18.77</v>
          </cell>
          <cell r="H17">
            <v>2080.6999999999998</v>
          </cell>
          <cell r="I17">
            <v>39054.738999999994</v>
          </cell>
          <cell r="J17">
            <v>0</v>
          </cell>
          <cell r="K17">
            <v>0</v>
          </cell>
          <cell r="L17">
            <v>0</v>
          </cell>
          <cell r="M17" t="str">
            <v>-</v>
          </cell>
          <cell r="N17" t="str">
            <v>-</v>
          </cell>
          <cell r="P17" t="str">
            <v>-</v>
          </cell>
          <cell r="Q17">
            <v>18.77</v>
          </cell>
          <cell r="R17">
            <v>2080.6999999999998</v>
          </cell>
          <cell r="S17">
            <v>39054.738999999994</v>
          </cell>
        </row>
        <row r="18">
          <cell r="A18" t="str">
            <v>3b</v>
          </cell>
          <cell r="B18" t="str">
            <v>Providing laying controlled cement concrete M-150 and curing complete including the cost of form work and excluding the cost of reinforcement for reinforced concrete work in : SLAB, more than 20 cm thick ness (FF)</v>
          </cell>
          <cell r="C18" t="str">
            <v>Cum</v>
          </cell>
          <cell r="D18">
            <v>9.66</v>
          </cell>
          <cell r="E18">
            <v>2528.5700000000002</v>
          </cell>
          <cell r="F18">
            <v>24425.986200000003</v>
          </cell>
          <cell r="G18">
            <v>9.66</v>
          </cell>
          <cell r="H18">
            <v>2528.5700000000002</v>
          </cell>
          <cell r="I18">
            <v>24425.986200000003</v>
          </cell>
          <cell r="J18">
            <v>0</v>
          </cell>
          <cell r="K18">
            <v>0</v>
          </cell>
          <cell r="L18">
            <v>0</v>
          </cell>
          <cell r="M18">
            <v>0</v>
          </cell>
          <cell r="N18" t="str">
            <v>-</v>
          </cell>
          <cell r="P18" t="str">
            <v>-</v>
          </cell>
          <cell r="Q18">
            <v>9.66</v>
          </cell>
          <cell r="R18">
            <v>2528.5700000000002</v>
          </cell>
          <cell r="S18">
            <v>24425.986200000003</v>
          </cell>
        </row>
        <row r="19">
          <cell r="A19" t="str">
            <v>3b</v>
          </cell>
          <cell r="B19" t="str">
            <v>Providing laying controlled cement concrete M-150 and curing complete including the cost of form work and excluding the cost of reinforcement for reinforced concrete work in : SLAB, more than 20 cm thick ness (FF)</v>
          </cell>
          <cell r="C19" t="str">
            <v>Cum</v>
          </cell>
          <cell r="D19">
            <v>9.66</v>
          </cell>
          <cell r="E19">
            <v>2528.5700000000002</v>
          </cell>
          <cell r="F19">
            <v>24425.986200000003</v>
          </cell>
          <cell r="G19">
            <v>9.66</v>
          </cell>
          <cell r="H19">
            <v>2528.5700000000002</v>
          </cell>
          <cell r="I19">
            <v>24425.986200000003</v>
          </cell>
          <cell r="J19">
            <v>0</v>
          </cell>
          <cell r="K19">
            <v>0</v>
          </cell>
          <cell r="L19">
            <v>0</v>
          </cell>
          <cell r="M19" t="str">
            <v>-</v>
          </cell>
          <cell r="N19" t="str">
            <v>-</v>
          </cell>
          <cell r="P19" t="str">
            <v>-</v>
          </cell>
          <cell r="Q19">
            <v>9.66</v>
          </cell>
          <cell r="R19">
            <v>2528.5700000000002</v>
          </cell>
          <cell r="S19">
            <v>24425.986200000003</v>
          </cell>
        </row>
        <row r="20">
          <cell r="A20">
            <v>4</v>
          </cell>
          <cell r="B20" t="str">
            <v>Providing and laying ordinary cement concrete 1:2:4  for R C C Lintle including finishing smooth and curing etc complete including the cost of form work and excluding the cost of form work</v>
          </cell>
          <cell r="C20" t="str">
            <v>Cum</v>
          </cell>
          <cell r="D20">
            <v>0.33</v>
          </cell>
          <cell r="E20">
            <v>3005</v>
          </cell>
          <cell r="F20">
            <v>991.65000000000009</v>
          </cell>
          <cell r="G20">
            <v>0.33</v>
          </cell>
          <cell r="H20">
            <v>3005</v>
          </cell>
          <cell r="I20">
            <v>991.65000000000009</v>
          </cell>
          <cell r="J20">
            <v>0</v>
          </cell>
          <cell r="K20">
            <v>1.4</v>
          </cell>
          <cell r="L20">
            <v>1.4</v>
          </cell>
          <cell r="M20">
            <v>0.09</v>
          </cell>
          <cell r="N20">
            <v>3005</v>
          </cell>
          <cell r="O20" t="str">
            <v>A</v>
          </cell>
          <cell r="P20">
            <v>270.45</v>
          </cell>
        </row>
        <row r="21">
          <cell r="M21">
            <v>0.98</v>
          </cell>
          <cell r="N21">
            <v>512.65300000000002</v>
          </cell>
          <cell r="O21" t="str">
            <v>B</v>
          </cell>
          <cell r="P21">
            <v>2944.9</v>
          </cell>
        </row>
        <row r="22">
          <cell r="A22">
            <v>4</v>
          </cell>
          <cell r="B22" t="str">
            <v xml:space="preserve">Providing and laying ordinary cement concrete 1:2:4  ( 1 cement : 2 coarse sand : 4 graded stone aggregates 20 mm nominal size) for R C C Lintle including finishing smooth and curing etc complete including the cost of form work and excluding the cost of </v>
          </cell>
          <cell r="C22" t="str">
            <v>Cum</v>
          </cell>
          <cell r="D22">
            <v>0.33</v>
          </cell>
          <cell r="E22">
            <v>3005</v>
          </cell>
          <cell r="F22">
            <v>991.65000000000009</v>
          </cell>
          <cell r="G22">
            <v>0.33</v>
          </cell>
          <cell r="H22">
            <v>3005</v>
          </cell>
          <cell r="I22">
            <v>991.65000000000009</v>
          </cell>
          <cell r="J22">
            <v>0</v>
          </cell>
          <cell r="K22">
            <v>1.4</v>
          </cell>
          <cell r="L22">
            <v>1.4</v>
          </cell>
          <cell r="M22">
            <v>0.09</v>
          </cell>
          <cell r="N22">
            <v>2492.3469999999998</v>
          </cell>
          <cell r="P22">
            <v>224.31122999999997</v>
          </cell>
        </row>
        <row r="23">
          <cell r="M23">
            <v>1.01</v>
          </cell>
          <cell r="N23">
            <v>3005</v>
          </cell>
          <cell r="P23">
            <v>3035.05</v>
          </cell>
        </row>
        <row r="24">
          <cell r="A24">
            <v>5</v>
          </cell>
          <cell r="B24" t="str">
            <v>Providing H.Y.S.D. bar reinforcement for R.C.C. work including vending binding and placing in position complete upto floor two level.</v>
          </cell>
          <cell r="C24" t="str">
            <v>Kg</v>
          </cell>
          <cell r="D24">
            <v>7236</v>
          </cell>
          <cell r="E24">
            <v>18</v>
          </cell>
          <cell r="F24">
            <v>130248</v>
          </cell>
          <cell r="G24">
            <v>7236</v>
          </cell>
          <cell r="H24">
            <v>18</v>
          </cell>
          <cell r="I24">
            <v>130248</v>
          </cell>
          <cell r="J24">
            <v>2670.34</v>
          </cell>
          <cell r="K24">
            <v>7680</v>
          </cell>
          <cell r="L24">
            <v>10350.34</v>
          </cell>
          <cell r="M24">
            <v>1.1000000000000001</v>
          </cell>
          <cell r="N24" t="str">
            <v>(It 30.0.0 Pg 45)</v>
          </cell>
          <cell r="O24" t="str">
            <v>A</v>
          </cell>
          <cell r="P24">
            <v>3259.36123</v>
          </cell>
          <cell r="Q24" t="str">
            <v>-</v>
          </cell>
          <cell r="R24" t="str">
            <v>-</v>
          </cell>
          <cell r="S24" t="str">
            <v>-</v>
          </cell>
        </row>
        <row r="25">
          <cell r="M25">
            <v>943.54</v>
          </cell>
          <cell r="N25">
            <v>18</v>
          </cell>
          <cell r="O25" t="str">
            <v>B</v>
          </cell>
          <cell r="P25">
            <v>16983.72</v>
          </cell>
        </row>
        <row r="26">
          <cell r="M26">
            <v>3114.34</v>
          </cell>
          <cell r="N26">
            <v>3.07</v>
          </cell>
          <cell r="P26">
            <v>56058.12</v>
          </cell>
        </row>
        <row r="27">
          <cell r="A27">
            <v>5</v>
          </cell>
          <cell r="B27" t="str">
            <v>Providing H.Y.S.D. bar reinforcement for R.C.C. work including vending binding and placing in position complete upto floor two level.</v>
          </cell>
          <cell r="C27" t="str">
            <v>Kg</v>
          </cell>
          <cell r="D27">
            <v>7236</v>
          </cell>
          <cell r="E27">
            <v>18</v>
          </cell>
          <cell r="F27">
            <v>130248</v>
          </cell>
          <cell r="G27">
            <v>7236</v>
          </cell>
          <cell r="H27">
            <v>18</v>
          </cell>
          <cell r="I27">
            <v>130248</v>
          </cell>
          <cell r="J27">
            <v>2670.34</v>
          </cell>
          <cell r="K27">
            <v>7680</v>
          </cell>
          <cell r="L27">
            <v>10350.34</v>
          </cell>
          <cell r="M27">
            <v>2070.8000000000002</v>
          </cell>
          <cell r="N27">
            <v>14.93</v>
          </cell>
          <cell r="P27">
            <v>30917.044000000002</v>
          </cell>
          <cell r="Q27" t="str">
            <v>-</v>
          </cell>
          <cell r="R27" t="str">
            <v>-</v>
          </cell>
          <cell r="S27" t="str">
            <v>-</v>
          </cell>
        </row>
        <row r="28">
          <cell r="A28">
            <v>6</v>
          </cell>
          <cell r="B28" t="str">
            <v>Providing mild steel reinforcement for R.C.C. work including bending, binding and placing in position complete upto floor two level.</v>
          </cell>
          <cell r="C28" t="str">
            <v>Kg</v>
          </cell>
          <cell r="D28">
            <v>1300</v>
          </cell>
          <cell r="E28">
            <v>17</v>
          </cell>
          <cell r="F28">
            <v>22100</v>
          </cell>
          <cell r="G28">
            <v>1300</v>
          </cell>
          <cell r="H28">
            <v>17</v>
          </cell>
          <cell r="I28">
            <v>22100</v>
          </cell>
          <cell r="J28">
            <v>43.78</v>
          </cell>
          <cell r="K28">
            <v>300</v>
          </cell>
          <cell r="L28">
            <v>343.78</v>
          </cell>
          <cell r="M28">
            <v>1043.5400000000009</v>
          </cell>
          <cell r="N28">
            <v>18</v>
          </cell>
          <cell r="P28">
            <v>18783.720000000016</v>
          </cell>
          <cell r="Q28">
            <v>956.2</v>
          </cell>
          <cell r="R28">
            <v>17</v>
          </cell>
          <cell r="S28">
            <v>16255.400000000001</v>
          </cell>
        </row>
        <row r="29">
          <cell r="M29">
            <v>3114.3400000000011</v>
          </cell>
          <cell r="N29" t="str">
            <v>(It 5.4.11 Pg 41)</v>
          </cell>
          <cell r="P29">
            <v>49700.764000000017</v>
          </cell>
        </row>
        <row r="30">
          <cell r="A30">
            <v>7</v>
          </cell>
          <cell r="B30" t="str">
            <v>Brick work using common Brunt clay building bricks having crushing strength not less than 35 Kg./Sq.cm. In foundation and plinth in cement mortar 1:6 (1cement : 6 fine sand)</v>
          </cell>
          <cell r="C30" t="str">
            <v>Cum</v>
          </cell>
          <cell r="D30">
            <v>11</v>
          </cell>
          <cell r="E30">
            <v>1037.9000000000001</v>
          </cell>
          <cell r="F30">
            <v>11416.900000000001</v>
          </cell>
          <cell r="G30">
            <v>11</v>
          </cell>
          <cell r="H30">
            <v>1037.9000000000001</v>
          </cell>
          <cell r="I30">
            <v>11416.900000000001</v>
          </cell>
          <cell r="J30">
            <v>5.56</v>
          </cell>
          <cell r="K30">
            <v>6.64</v>
          </cell>
          <cell r="L30">
            <v>12.2</v>
          </cell>
          <cell r="M30">
            <v>1.2</v>
          </cell>
          <cell r="N30">
            <v>1037.9000000000001</v>
          </cell>
          <cell r="P30">
            <v>1245.48</v>
          </cell>
          <cell r="Q30" t="str">
            <v>-</v>
          </cell>
          <cell r="R30" t="str">
            <v>-</v>
          </cell>
          <cell r="S30" t="str">
            <v>-</v>
          </cell>
        </row>
        <row r="32">
          <cell r="A32">
            <v>6</v>
          </cell>
          <cell r="B32" t="str">
            <v>Providing mild steel reinforcement for R.C.C. work including bending, binding and placing in position complete upto floor two level.</v>
          </cell>
          <cell r="C32" t="str">
            <v>Kg</v>
          </cell>
          <cell r="D32">
            <v>1300</v>
          </cell>
          <cell r="E32">
            <v>17</v>
          </cell>
          <cell r="F32">
            <v>22100</v>
          </cell>
          <cell r="G32">
            <v>1300</v>
          </cell>
          <cell r="H32">
            <v>17</v>
          </cell>
          <cell r="I32">
            <v>22100</v>
          </cell>
          <cell r="J32">
            <v>43.78</v>
          </cell>
          <cell r="K32">
            <v>300</v>
          </cell>
          <cell r="L32">
            <v>343.78</v>
          </cell>
          <cell r="M32">
            <v>0</v>
          </cell>
          <cell r="N32" t="str">
            <v>-</v>
          </cell>
          <cell r="P32" t="str">
            <v>-</v>
          </cell>
          <cell r="Q32">
            <v>-956.22</v>
          </cell>
          <cell r="R32">
            <v>17</v>
          </cell>
          <cell r="S32">
            <v>16255.7</v>
          </cell>
        </row>
        <row r="33">
          <cell r="N33">
            <v>1037.9000000000001</v>
          </cell>
        </row>
        <row r="34">
          <cell r="A34">
            <v>9</v>
          </cell>
          <cell r="B34" t="str">
            <v xml:space="preserve">Providing 15 mm thick Cement Plaster in single coat on fair sides of brick or concrete walls for interior plastering utpof floor two level finished veven and smooth in c m 1:4 (1 cement : 4 sand) for first floor level     </v>
          </cell>
          <cell r="C34" t="str">
            <v>Sqm</v>
          </cell>
          <cell r="D34">
            <v>298</v>
          </cell>
          <cell r="E34">
            <v>57.6</v>
          </cell>
          <cell r="F34">
            <v>17164.8</v>
          </cell>
          <cell r="G34">
            <v>298</v>
          </cell>
          <cell r="H34">
            <v>57.6</v>
          </cell>
          <cell r="I34">
            <v>17164.8</v>
          </cell>
          <cell r="J34">
            <v>0</v>
          </cell>
          <cell r="K34">
            <v>298</v>
          </cell>
          <cell r="L34">
            <v>298</v>
          </cell>
          <cell r="M34" t="str">
            <v>-</v>
          </cell>
          <cell r="N34">
            <v>177.06574000000001</v>
          </cell>
          <cell r="P34" t="str">
            <v>-</v>
          </cell>
          <cell r="Q34" t="str">
            <v>-</v>
          </cell>
          <cell r="R34" t="str">
            <v>-</v>
          </cell>
          <cell r="S34" t="str">
            <v>-</v>
          </cell>
        </row>
        <row r="35">
          <cell r="A35">
            <v>7</v>
          </cell>
          <cell r="B35" t="str">
            <v>Brick work using common Brunt clay building bricks having crushing strength not less than 35 Kg./Sq.cm. In foundation and plinth in cement mortar 1:6 (1cement : 6 fine sand)</v>
          </cell>
          <cell r="C35" t="str">
            <v>Cum</v>
          </cell>
          <cell r="D35">
            <v>11</v>
          </cell>
          <cell r="E35">
            <v>1037.9000000000001</v>
          </cell>
          <cell r="F35">
            <v>11416.900000000001</v>
          </cell>
          <cell r="G35">
            <v>11</v>
          </cell>
          <cell r="H35">
            <v>1037.9000000000001</v>
          </cell>
          <cell r="I35">
            <v>11416.900000000001</v>
          </cell>
          <cell r="J35">
            <v>5.56</v>
          </cell>
          <cell r="K35">
            <v>6.64</v>
          </cell>
          <cell r="L35">
            <v>12.2</v>
          </cell>
          <cell r="M35">
            <v>1.2</v>
          </cell>
          <cell r="N35">
            <v>860.83426000000009</v>
          </cell>
          <cell r="P35">
            <v>1033.0011120000001</v>
          </cell>
          <cell r="Q35" t="str">
            <v>-</v>
          </cell>
          <cell r="R35" t="str">
            <v>-</v>
          </cell>
          <cell r="S35" t="str">
            <v>-</v>
          </cell>
        </row>
        <row r="36">
          <cell r="A36">
            <v>10</v>
          </cell>
          <cell r="B36" t="str">
            <v>Providing 10 mm thick Cement Plaster in single coat on fair sides of brick or concrete walls for interior plastering for first floor  level finished even and smooth in C M 1:4 ( 1 cement : 4 fine sand) including floating coat of neat cement slurry on cell</v>
          </cell>
          <cell r="C36" t="str">
            <v>Sqm</v>
          </cell>
          <cell r="D36">
            <v>155</v>
          </cell>
          <cell r="E36">
            <v>51.8</v>
          </cell>
          <cell r="F36">
            <v>8029</v>
          </cell>
          <cell r="G36">
            <v>155</v>
          </cell>
          <cell r="H36">
            <v>51.8</v>
          </cell>
          <cell r="I36">
            <v>8029</v>
          </cell>
          <cell r="J36">
            <v>0</v>
          </cell>
          <cell r="K36">
            <v>155</v>
          </cell>
          <cell r="L36">
            <v>155</v>
          </cell>
          <cell r="M36" t="str">
            <v>-</v>
          </cell>
          <cell r="N36">
            <v>174.4</v>
          </cell>
          <cell r="P36" t="str">
            <v>-</v>
          </cell>
          <cell r="Q36" t="str">
            <v>-</v>
          </cell>
          <cell r="R36" t="str">
            <v>-</v>
          </cell>
          <cell r="S36" t="str">
            <v>-</v>
          </cell>
        </row>
        <row r="37">
          <cell r="N37">
            <v>29.75264</v>
          </cell>
        </row>
        <row r="38">
          <cell r="A38">
            <v>8</v>
          </cell>
          <cell r="B38" t="str">
            <v>Half brick masonary in common brunt clay building strength not less than 35 Kg./Sq.cm. In cement mortar 1:3 (1cement : 3 coarse sand) with 2 Nos. of 6 mm. Dia mild steel round bars after every three coarse embedded in cement mortar in foundation and plint</v>
          </cell>
          <cell r="C38" t="str">
            <v>Sqm</v>
          </cell>
          <cell r="D38">
            <v>21</v>
          </cell>
          <cell r="E38">
            <v>174.4</v>
          </cell>
          <cell r="F38">
            <v>3662.4</v>
          </cell>
          <cell r="G38">
            <v>21</v>
          </cell>
          <cell r="H38">
            <v>174.4</v>
          </cell>
          <cell r="I38">
            <v>3662.4</v>
          </cell>
          <cell r="J38">
            <v>0</v>
          </cell>
          <cell r="K38">
            <v>27.3</v>
          </cell>
          <cell r="L38">
            <v>27.3</v>
          </cell>
          <cell r="M38">
            <v>6.3</v>
          </cell>
          <cell r="N38">
            <v>144.64735999999999</v>
          </cell>
          <cell r="P38">
            <v>911.27836799999989</v>
          </cell>
          <cell r="Q38" t="str">
            <v>-</v>
          </cell>
          <cell r="R38" t="str">
            <v>-</v>
          </cell>
          <cell r="S38" t="str">
            <v>-</v>
          </cell>
        </row>
        <row r="40">
          <cell r="A40">
            <v>9</v>
          </cell>
          <cell r="B40" t="str">
            <v xml:space="preserve">Providing 15 mm thick Cement Plaster in single coat on fair sides of brick or concrete walls for interior plastering utpof floor two level finished veven and smooth in c m 1:4 (1 cement : 4 sand) for first floor level     </v>
          </cell>
          <cell r="C40" t="str">
            <v>Sqm</v>
          </cell>
          <cell r="D40">
            <v>298</v>
          </cell>
          <cell r="E40">
            <v>57.6</v>
          </cell>
          <cell r="F40">
            <v>17164.8</v>
          </cell>
          <cell r="G40">
            <v>298</v>
          </cell>
          <cell r="H40">
            <v>57.6</v>
          </cell>
          <cell r="I40">
            <v>17164.8</v>
          </cell>
          <cell r="J40">
            <v>0</v>
          </cell>
          <cell r="K40">
            <v>298</v>
          </cell>
          <cell r="L40">
            <v>298</v>
          </cell>
          <cell r="M40" t="str">
            <v>-</v>
          </cell>
          <cell r="N40" t="str">
            <v>-</v>
          </cell>
          <cell r="P40" t="str">
            <v>-</v>
          </cell>
          <cell r="Q40" t="str">
            <v>-</v>
          </cell>
          <cell r="R40" t="str">
            <v>-</v>
          </cell>
          <cell r="S40" t="str">
            <v>-</v>
          </cell>
        </row>
        <row r="42">
          <cell r="A42">
            <v>10</v>
          </cell>
          <cell r="B42" t="str">
            <v>Providing 10 mm thick Cement Plaster in single coat on fair sides of brick or concrete walls for interior plastering for first floor  level finished even and smooth in C M 1:4 ( 1 cement : 4 fine sand) including floating coat of neat cement slurry on cell</v>
          </cell>
          <cell r="C42" t="str">
            <v>Sqm</v>
          </cell>
          <cell r="D42">
            <v>155</v>
          </cell>
          <cell r="E42">
            <v>51.8</v>
          </cell>
          <cell r="F42">
            <v>8029</v>
          </cell>
          <cell r="G42">
            <v>155</v>
          </cell>
          <cell r="H42">
            <v>51.8</v>
          </cell>
          <cell r="I42">
            <v>8029</v>
          </cell>
          <cell r="J42">
            <v>0</v>
          </cell>
          <cell r="K42">
            <v>155</v>
          </cell>
          <cell r="L42">
            <v>155</v>
          </cell>
          <cell r="M42" t="str">
            <v>-</v>
          </cell>
          <cell r="N42" t="str">
            <v>-</v>
          </cell>
          <cell r="O42" t="str">
            <v>A</v>
          </cell>
          <cell r="P42" t="str">
            <v>-</v>
          </cell>
          <cell r="Q42" t="str">
            <v>-</v>
          </cell>
          <cell r="R42" t="str">
            <v>-</v>
          </cell>
          <cell r="S42" t="str">
            <v>-</v>
          </cell>
        </row>
        <row r="43">
          <cell r="M43">
            <v>18.3</v>
          </cell>
          <cell r="N43">
            <v>86</v>
          </cell>
          <cell r="O43" t="str">
            <v>B</v>
          </cell>
          <cell r="P43">
            <v>1573.8</v>
          </cell>
        </row>
        <row r="44">
          <cell r="A44">
            <v>11</v>
          </cell>
          <cell r="B44" t="str">
            <v>Brick work using common Brunt clay building bricks having crushing strength not less than 35 Kg./Sq.cm. In foundation and plinth in cement mortar 1:6 (1cement : 6 fine sand)</v>
          </cell>
          <cell r="C44" t="str">
            <v>Cum</v>
          </cell>
          <cell r="D44">
            <v>4.34</v>
          </cell>
          <cell r="E44">
            <v>1047.8</v>
          </cell>
          <cell r="F44">
            <v>4547.4519999999993</v>
          </cell>
          <cell r="G44">
            <v>4.34</v>
          </cell>
          <cell r="H44">
            <v>1047.8</v>
          </cell>
          <cell r="I44">
            <v>4547.4519999999993</v>
          </cell>
          <cell r="J44">
            <v>0</v>
          </cell>
          <cell r="K44">
            <v>4.3</v>
          </cell>
          <cell r="L44">
            <v>4.3</v>
          </cell>
          <cell r="M44" t="str">
            <v>-</v>
          </cell>
          <cell r="N44" t="str">
            <v>-</v>
          </cell>
          <cell r="P44" t="str">
            <v>-</v>
          </cell>
          <cell r="Q44" t="str">
            <v>-</v>
          </cell>
          <cell r="R44" t="str">
            <v>-</v>
          </cell>
          <cell r="S44" t="str">
            <v>-</v>
          </cell>
        </row>
        <row r="45">
          <cell r="N45">
            <v>50.78</v>
          </cell>
        </row>
        <row r="46">
          <cell r="A46">
            <v>14</v>
          </cell>
          <cell r="B46" t="str">
            <v>Providing and laying Kota stone slab flooring over 20 mm. (average thick base of cement mortar 1:6 (1 cement : 6 coarse sand ) of L.M. 1:1.5 and laid over and jointed with grey cement slurry including rubbing and polishing complete.</v>
          </cell>
          <cell r="C46" t="str">
            <v>Sqm</v>
          </cell>
          <cell r="D46">
            <v>98</v>
          </cell>
          <cell r="E46">
            <v>400</v>
          </cell>
          <cell r="F46">
            <v>39200</v>
          </cell>
          <cell r="G46">
            <v>98</v>
          </cell>
          <cell r="H46">
            <v>400</v>
          </cell>
          <cell r="I46">
            <v>39200</v>
          </cell>
          <cell r="J46">
            <v>0</v>
          </cell>
          <cell r="K46">
            <v>110</v>
          </cell>
          <cell r="L46">
            <v>110</v>
          </cell>
          <cell r="M46">
            <v>12</v>
          </cell>
          <cell r="N46">
            <v>8.6630680000000009</v>
          </cell>
          <cell r="P46">
            <v>4800</v>
          </cell>
          <cell r="Q46" t="str">
            <v>-</v>
          </cell>
          <cell r="R46" t="str">
            <v>-</v>
          </cell>
          <cell r="S46" t="str">
            <v>-</v>
          </cell>
        </row>
        <row r="47">
          <cell r="A47">
            <v>12</v>
          </cell>
          <cell r="B47" t="str">
            <v>Providing 10 mm thick Cement Plaster in single coat on fair sides of brick or concrete walls for interior plastering for first floor  level finished even and smooth in C M 1:4 ( 1 cement : 4 fine sand) including floating coat of neat cement slurry on cell</v>
          </cell>
          <cell r="C47" t="str">
            <v>Sqm</v>
          </cell>
          <cell r="D47">
            <v>29</v>
          </cell>
          <cell r="E47">
            <v>50.78</v>
          </cell>
          <cell r="F47">
            <v>1472.6200000000001</v>
          </cell>
          <cell r="G47">
            <v>29</v>
          </cell>
          <cell r="H47">
            <v>50.78</v>
          </cell>
          <cell r="I47">
            <v>1472.6200000000001</v>
          </cell>
          <cell r="J47">
            <v>0</v>
          </cell>
          <cell r="K47">
            <v>37.700000000000003</v>
          </cell>
          <cell r="L47">
            <v>37.700000000000003</v>
          </cell>
          <cell r="M47">
            <v>8.7000000000000028</v>
          </cell>
          <cell r="N47">
            <v>42.116931999999998</v>
          </cell>
          <cell r="P47">
            <v>366.41730840000008</v>
          </cell>
          <cell r="Q47" t="str">
            <v>-</v>
          </cell>
          <cell r="R47" t="str">
            <v>-</v>
          </cell>
          <cell r="S47" t="str">
            <v>-</v>
          </cell>
        </row>
        <row r="48">
          <cell r="A48">
            <v>15</v>
          </cell>
          <cell r="B48" t="str">
            <v>Providing and laying white glazed tiles 6 mm. Thick inflooring treads of steps and landings laid on a Bed of 12 mm. Thick cement mortar 1:3 (1 cement : 3 coarse sand) pointing in white ceand jointed with white cement slurry.</v>
          </cell>
          <cell r="C48" t="str">
            <v>Sqm</v>
          </cell>
          <cell r="D48">
            <v>3.2</v>
          </cell>
          <cell r="E48">
            <v>483</v>
          </cell>
          <cell r="F48">
            <v>1545.6000000000001</v>
          </cell>
          <cell r="G48">
            <v>3.2</v>
          </cell>
          <cell r="H48">
            <v>483</v>
          </cell>
          <cell r="I48">
            <v>1545.6000000000001</v>
          </cell>
          <cell r="J48">
            <v>0</v>
          </cell>
          <cell r="K48">
            <v>0</v>
          </cell>
          <cell r="L48">
            <v>0</v>
          </cell>
          <cell r="M48" t="str">
            <v>-</v>
          </cell>
          <cell r="N48">
            <v>86</v>
          </cell>
          <cell r="P48" t="str">
            <v>-</v>
          </cell>
          <cell r="Q48">
            <v>3.2</v>
          </cell>
          <cell r="R48">
            <v>483</v>
          </cell>
          <cell r="S48">
            <v>1545.6000000000001</v>
          </cell>
        </row>
        <row r="49">
          <cell r="N49">
            <v>14.6716</v>
          </cell>
        </row>
        <row r="50">
          <cell r="A50">
            <v>13</v>
          </cell>
          <cell r="B50" t="str">
            <v xml:space="preserve">20 mm thick Sand Faced plaster on walls upto height 10 Mt above ground Level consisting of 12 mm thick backing coat of CM 1:3 ( 1 cement : 3 Sand ) and 8 mm thick finishing coat of CM  1:1 ( 1 cement : sand) etc complete                                   </v>
          </cell>
          <cell r="C50" t="str">
            <v>Sqm</v>
          </cell>
          <cell r="D50">
            <v>109</v>
          </cell>
          <cell r="E50">
            <v>86</v>
          </cell>
          <cell r="F50">
            <v>9374</v>
          </cell>
          <cell r="G50">
            <v>109</v>
          </cell>
          <cell r="H50">
            <v>86</v>
          </cell>
          <cell r="I50">
            <v>9374</v>
          </cell>
          <cell r="J50">
            <v>0</v>
          </cell>
          <cell r="K50">
            <v>160</v>
          </cell>
          <cell r="L50">
            <v>160</v>
          </cell>
          <cell r="M50">
            <v>32.700000000000003</v>
          </cell>
          <cell r="N50">
            <v>71.328400000000002</v>
          </cell>
          <cell r="P50">
            <v>2332.4386800000002</v>
          </cell>
          <cell r="Q50" t="str">
            <v>-</v>
          </cell>
          <cell r="R50" t="str">
            <v>-</v>
          </cell>
          <cell r="S50" t="str">
            <v>-</v>
          </cell>
        </row>
        <row r="51">
          <cell r="M51">
            <v>18.3</v>
          </cell>
          <cell r="N51">
            <v>86</v>
          </cell>
          <cell r="P51">
            <v>1573.8</v>
          </cell>
        </row>
        <row r="52">
          <cell r="A52">
            <v>17</v>
          </cell>
          <cell r="B52" t="str">
            <v xml:space="preserve">Providing and fixing Aluminum glazed Windows having medium heavy section of 20mm aluminum section with approved quality frosted glass including fixture and fastenings like handle lock stopper etc comp    </v>
          </cell>
          <cell r="C52" t="str">
            <v>Sqm</v>
          </cell>
          <cell r="D52">
            <v>5.04</v>
          </cell>
          <cell r="E52">
            <v>1500</v>
          </cell>
          <cell r="F52">
            <v>7560</v>
          </cell>
          <cell r="G52">
            <v>5.04</v>
          </cell>
          <cell r="H52">
            <v>1500</v>
          </cell>
          <cell r="I52">
            <v>7560</v>
          </cell>
          <cell r="J52">
            <v>0</v>
          </cell>
          <cell r="K52">
            <v>5.4</v>
          </cell>
          <cell r="L52">
            <v>5.4</v>
          </cell>
          <cell r="M52">
            <v>51</v>
          </cell>
          <cell r="N52" t="str">
            <v>(It 17.95 Pg 92)</v>
          </cell>
          <cell r="P52">
            <v>3906.2386800000004</v>
          </cell>
          <cell r="Q52" t="str">
            <v>-</v>
          </cell>
          <cell r="R52" t="str">
            <v>-</v>
          </cell>
          <cell r="S52" t="str">
            <v>-</v>
          </cell>
        </row>
        <row r="53">
          <cell r="N53">
            <v>400</v>
          </cell>
        </row>
        <row r="54">
          <cell r="A54">
            <v>18</v>
          </cell>
          <cell r="B54" t="str">
            <v>Providing &amp; fixing 35 mm. Thick shutters for doors windows and clearstory windows including Inidan teak wood frames 12 cm. x 7 cm. Size including black enamelled iron oxidise Fixtures &amp; Fastenings including primer coat of approved quality and two coats of</v>
          </cell>
          <cell r="C54" t="str">
            <v>Sqm</v>
          </cell>
          <cell r="D54">
            <v>4</v>
          </cell>
          <cell r="E54">
            <v>2917</v>
          </cell>
          <cell r="F54">
            <v>11668</v>
          </cell>
          <cell r="G54">
            <v>4</v>
          </cell>
          <cell r="H54">
            <v>2917</v>
          </cell>
          <cell r="I54">
            <v>11668</v>
          </cell>
          <cell r="J54">
            <v>3.78</v>
          </cell>
          <cell r="K54">
            <v>3.78</v>
          </cell>
          <cell r="L54">
            <v>7.56</v>
          </cell>
          <cell r="M54">
            <v>1.2</v>
          </cell>
          <cell r="N54">
            <v>68.239999999999995</v>
          </cell>
          <cell r="O54" t="str">
            <v>A</v>
          </cell>
          <cell r="P54">
            <v>3500.4</v>
          </cell>
          <cell r="Q54" t="str">
            <v>-</v>
          </cell>
          <cell r="R54" t="str">
            <v>-</v>
          </cell>
          <cell r="S54" t="str">
            <v>-</v>
          </cell>
        </row>
        <row r="55">
          <cell r="A55">
            <v>14</v>
          </cell>
          <cell r="B55" t="str">
            <v>Providing and laying Kota stone slab flooring over 20 mm. (average thick base of cement mortar 1:6 (1 cement : 6 coarse sand ) of L.M. 1:1.5 and laid over and jointed with grey cement slurry including rubbing and polishing complete.</v>
          </cell>
          <cell r="C55" t="str">
            <v>Sqm</v>
          </cell>
          <cell r="D55">
            <v>98</v>
          </cell>
          <cell r="E55">
            <v>400</v>
          </cell>
          <cell r="F55">
            <v>39200</v>
          </cell>
          <cell r="G55">
            <v>98</v>
          </cell>
          <cell r="H55">
            <v>400</v>
          </cell>
          <cell r="I55">
            <v>39200</v>
          </cell>
          <cell r="J55">
            <v>0</v>
          </cell>
          <cell r="K55">
            <v>110</v>
          </cell>
          <cell r="L55">
            <v>110</v>
          </cell>
          <cell r="M55">
            <v>12</v>
          </cell>
          <cell r="N55">
            <v>331.76</v>
          </cell>
          <cell r="O55" t="str">
            <v>B</v>
          </cell>
          <cell r="P55" t="str">
            <v>-</v>
          </cell>
          <cell r="Q55" t="str">
            <v>-</v>
          </cell>
          <cell r="R55" t="str">
            <v>-</v>
          </cell>
          <cell r="S55" t="str">
            <v>-</v>
          </cell>
        </row>
        <row r="56">
          <cell r="M56" t="str">
            <v/>
          </cell>
          <cell r="N56" t="str">
            <v>(It 32.0.0(2) Pg 68)</v>
          </cell>
          <cell r="P56">
            <v>10384.52</v>
          </cell>
        </row>
        <row r="57">
          <cell r="A57">
            <v>15</v>
          </cell>
          <cell r="B57" t="str">
            <v>Providing and laying white glazed tiles 6 mm. Thick inflooring treads of steps and landings laid on a Bed of 12 mm. Thick cement mortar 1:3 (1 cement : 3 coarse sand) pointing in white ceand jointed with white cement slurry.</v>
          </cell>
          <cell r="C57" t="str">
            <v>Sqm</v>
          </cell>
          <cell r="D57">
            <v>3.2</v>
          </cell>
          <cell r="E57">
            <v>483</v>
          </cell>
          <cell r="F57">
            <v>1545.6000000000001</v>
          </cell>
          <cell r="G57">
            <v>3.2</v>
          </cell>
          <cell r="H57">
            <v>483</v>
          </cell>
          <cell r="I57">
            <v>1545.6000000000001</v>
          </cell>
          <cell r="J57">
            <v>0</v>
          </cell>
          <cell r="K57">
            <v>0</v>
          </cell>
          <cell r="L57">
            <v>0</v>
          </cell>
          <cell r="M57" t="str">
            <v>-</v>
          </cell>
          <cell r="N57" t="str">
            <v>-</v>
          </cell>
          <cell r="P57" t="str">
            <v>-</v>
          </cell>
          <cell r="Q57">
            <v>3.2</v>
          </cell>
          <cell r="R57">
            <v>483</v>
          </cell>
          <cell r="S57">
            <v>1545.6000000000001</v>
          </cell>
        </row>
        <row r="58">
          <cell r="A58">
            <v>19</v>
          </cell>
          <cell r="B58" t="str">
            <v>Providing &amp; fixing 35 mm. Thick shutters for doors windows and clearstory windows including Inidan teak wood frames 10 cm. x 7 cm. Size including anodized alluminium fixtures &amp; fastenings including primer coat of approved quality and two coats of oil pain</v>
          </cell>
          <cell r="C58" t="str">
            <v>Sqm</v>
          </cell>
          <cell r="D58">
            <v>3.4</v>
          </cell>
          <cell r="E58">
            <v>2775</v>
          </cell>
          <cell r="F58">
            <v>9435</v>
          </cell>
          <cell r="G58">
            <v>3.4</v>
          </cell>
          <cell r="H58">
            <v>2775</v>
          </cell>
          <cell r="I58">
            <v>9435</v>
          </cell>
          <cell r="J58">
            <v>4.4000000000000004</v>
          </cell>
          <cell r="K58">
            <v>0</v>
          </cell>
          <cell r="L58">
            <v>4.4000000000000004</v>
          </cell>
          <cell r="M58">
            <v>1</v>
          </cell>
          <cell r="N58">
            <v>2775</v>
          </cell>
          <cell r="P58">
            <v>2775</v>
          </cell>
          <cell r="Q58" t="str">
            <v>-</v>
          </cell>
          <cell r="R58" t="str">
            <v>-</v>
          </cell>
          <cell r="S58" t="str">
            <v>-</v>
          </cell>
        </row>
        <row r="59">
          <cell r="A59">
            <v>16</v>
          </cell>
          <cell r="B59" t="str">
            <v>Providing and laying white glazed tiles 6 mm. Thick in skirting risers of steps and dado on 10 mm. Thick cement plaster 1:3 (1 cement : 3 coarse sand) pointing in white ceand jointed with white cement slurry.</v>
          </cell>
          <cell r="C59" t="str">
            <v>Sqm</v>
          </cell>
          <cell r="D59">
            <v>8.4600000000000009</v>
          </cell>
          <cell r="E59">
            <v>491</v>
          </cell>
          <cell r="F59">
            <v>4153.8600000000006</v>
          </cell>
          <cell r="G59">
            <v>8.4600000000000009</v>
          </cell>
          <cell r="H59">
            <v>491</v>
          </cell>
          <cell r="I59">
            <v>4153.8600000000006</v>
          </cell>
          <cell r="J59">
            <v>0</v>
          </cell>
          <cell r="K59">
            <v>0</v>
          </cell>
          <cell r="L59">
            <v>0</v>
          </cell>
          <cell r="M59" t="str">
            <v>-</v>
          </cell>
          <cell r="N59" t="str">
            <v>-</v>
          </cell>
          <cell r="P59" t="str">
            <v>-</v>
          </cell>
          <cell r="Q59">
            <v>8.4600000000000009</v>
          </cell>
          <cell r="R59">
            <v>491</v>
          </cell>
          <cell r="S59">
            <v>4153.8600000000006</v>
          </cell>
        </row>
        <row r="60">
          <cell r="A60">
            <v>20</v>
          </cell>
          <cell r="B60" t="str">
            <v>Providing &amp; fixing M.S. grills of required pattern to wooden frames of windows etc. with M.S. flats at required spacings and frame alround square or round bars with round headed bolts and nuts or by screws.</v>
          </cell>
          <cell r="C60" t="str">
            <v>Kg</v>
          </cell>
          <cell r="D60">
            <v>213</v>
          </cell>
          <cell r="E60">
            <v>28</v>
          </cell>
          <cell r="F60">
            <v>5964</v>
          </cell>
          <cell r="G60">
            <v>213</v>
          </cell>
          <cell r="H60">
            <v>28</v>
          </cell>
          <cell r="I60">
            <v>5964</v>
          </cell>
          <cell r="J60">
            <v>0</v>
          </cell>
          <cell r="K60">
            <v>213</v>
          </cell>
          <cell r="L60">
            <v>213</v>
          </cell>
          <cell r="M60" t="str">
            <v>-</v>
          </cell>
          <cell r="N60" t="str">
            <v>-</v>
          </cell>
          <cell r="P60" t="str">
            <v>-</v>
          </cell>
          <cell r="Q60" t="str">
            <v>-</v>
          </cell>
          <cell r="R60" t="str">
            <v>-</v>
          </cell>
          <cell r="S60" t="str">
            <v>-</v>
          </cell>
        </row>
        <row r="61">
          <cell r="A61">
            <v>17</v>
          </cell>
          <cell r="B61" t="str">
            <v xml:space="preserve">Providing and fixing Aluminum glazed Windows having medium heavy section of 20mm aluminum section with approved quality frosted glass including fixture and fastenings like handle lock stopper etc comp    </v>
          </cell>
          <cell r="C61" t="str">
            <v>Sqm</v>
          </cell>
          <cell r="D61">
            <v>5.4</v>
          </cell>
          <cell r="E61">
            <v>1500</v>
          </cell>
          <cell r="F61">
            <v>8100.0000000000009</v>
          </cell>
          <cell r="G61">
            <v>5.4</v>
          </cell>
          <cell r="H61">
            <v>1500</v>
          </cell>
          <cell r="I61">
            <v>8100.0000000000009</v>
          </cell>
          <cell r="J61">
            <v>0</v>
          </cell>
          <cell r="K61">
            <v>5.4</v>
          </cell>
          <cell r="L61">
            <v>5.4</v>
          </cell>
          <cell r="M61" t="str">
            <v>-</v>
          </cell>
          <cell r="N61" t="str">
            <v>-</v>
          </cell>
          <cell r="P61" t="str">
            <v>-</v>
          </cell>
          <cell r="Q61" t="str">
            <v>-</v>
          </cell>
          <cell r="R61" t="str">
            <v>-</v>
          </cell>
          <cell r="S61" t="str">
            <v>-</v>
          </cell>
        </row>
        <row r="62">
          <cell r="F62">
            <v>390346.7622</v>
          </cell>
          <cell r="I62">
            <v>438974.0269</v>
          </cell>
          <cell r="N62">
            <v>2917</v>
          </cell>
          <cell r="P62">
            <v>56558.436000000002</v>
          </cell>
          <cell r="R62" t="str">
            <v>Total</v>
          </cell>
          <cell r="S62">
            <v>172395.60490000003</v>
          </cell>
        </row>
        <row r="63">
          <cell r="N63">
            <v>497.64019999999999</v>
          </cell>
          <cell r="P63">
            <v>9648.869181600001</v>
          </cell>
        </row>
        <row r="64">
          <cell r="A64">
            <v>18</v>
          </cell>
          <cell r="B64" t="str">
            <v>Providing &amp; fixing 35 mm. Thick shutters for doors windows and clearstory windows including Inidan teak wood frames 12 cm. x 7 cm. Size including black enamelled iron oxidise Fixtures &amp; Fastenings including primer coat of approved quality and two coats of</v>
          </cell>
          <cell r="C64" t="str">
            <v>Sqm</v>
          </cell>
          <cell r="D64">
            <v>4</v>
          </cell>
          <cell r="E64">
            <v>2917</v>
          </cell>
          <cell r="F64">
            <v>11668</v>
          </cell>
          <cell r="G64">
            <v>4</v>
          </cell>
          <cell r="H64">
            <v>2917</v>
          </cell>
          <cell r="I64">
            <v>11668</v>
          </cell>
          <cell r="J64">
            <v>3.78</v>
          </cell>
          <cell r="K64">
            <v>3.78</v>
          </cell>
          <cell r="L64">
            <v>7.56</v>
          </cell>
          <cell r="M64">
            <v>1.2</v>
          </cell>
          <cell r="N64">
            <v>2419.3598000000002</v>
          </cell>
          <cell r="O64" t="str">
            <v>A</v>
          </cell>
          <cell r="P64">
            <v>2903.2317600000001</v>
          </cell>
          <cell r="Q64" t="str">
            <v>-</v>
          </cell>
          <cell r="R64" t="str">
            <v>-</v>
          </cell>
          <cell r="S64" t="str">
            <v>-</v>
          </cell>
        </row>
        <row r="65">
          <cell r="G65" t="str">
            <v>Less 17.06% Below</v>
          </cell>
          <cell r="I65">
            <v>74888.968989140005</v>
          </cell>
          <cell r="M65">
            <v>2.36</v>
          </cell>
          <cell r="N65">
            <v>2917</v>
          </cell>
          <cell r="O65" t="str">
            <v>B</v>
          </cell>
          <cell r="P65">
            <v>6884.12</v>
          </cell>
        </row>
        <row r="66">
          <cell r="H66" t="str">
            <v>Total</v>
          </cell>
          <cell r="I66">
            <v>364085.05791085999</v>
          </cell>
          <cell r="M66">
            <v>3.5599999999999996</v>
          </cell>
          <cell r="N66" t="str">
            <v>(It 32.0.0(2) Pg 68)</v>
          </cell>
          <cell r="P66">
            <v>9787.3517599999996</v>
          </cell>
        </row>
        <row r="67">
          <cell r="N67">
            <v>2775</v>
          </cell>
        </row>
        <row r="68">
          <cell r="F68">
            <v>373517.59</v>
          </cell>
          <cell r="G68" t="str">
            <v>Tender Cost</v>
          </cell>
          <cell r="N68">
            <v>473.41500000000002</v>
          </cell>
          <cell r="P68">
            <v>75296.106818400003</v>
          </cell>
        </row>
        <row r="69">
          <cell r="A69">
            <v>19</v>
          </cell>
          <cell r="B69" t="str">
            <v>Providing &amp; fixing 35 mm. Thick shutters for doors windows and clearstory windows including Inidan teak wood frames 10 cm. x 7 cm. Size including anodized alluminium fixtures &amp; fastenings including primer coat of approved quality and two coats of oil pain</v>
          </cell>
          <cell r="C69" t="str">
            <v>Sqm</v>
          </cell>
          <cell r="D69">
            <v>3.4</v>
          </cell>
          <cell r="E69">
            <v>2775</v>
          </cell>
          <cell r="F69">
            <v>9435</v>
          </cell>
          <cell r="G69">
            <v>3.4</v>
          </cell>
          <cell r="H69">
            <v>2775</v>
          </cell>
          <cell r="I69">
            <v>9435</v>
          </cell>
          <cell r="J69">
            <v>4.4000000000000004</v>
          </cell>
          <cell r="K69">
            <v>0</v>
          </cell>
          <cell r="L69">
            <v>4.4000000000000004</v>
          </cell>
          <cell r="M69">
            <v>1</v>
          </cell>
          <cell r="N69">
            <v>2301.585</v>
          </cell>
          <cell r="O69" t="str">
            <v>-</v>
          </cell>
          <cell r="P69">
            <v>2301.585</v>
          </cell>
          <cell r="Q69" t="str">
            <v>-</v>
          </cell>
          <cell r="R69" t="str">
            <v>-</v>
          </cell>
          <cell r="S69" t="str">
            <v>-</v>
          </cell>
        </row>
        <row r="70">
          <cell r="F70">
            <v>276418.09191840002</v>
          </cell>
          <cell r="G70" t="str">
            <v>Gross Work Done</v>
          </cell>
          <cell r="P70">
            <v>-97099.498081600032</v>
          </cell>
        </row>
        <row r="71">
          <cell r="A71">
            <v>20</v>
          </cell>
          <cell r="B71" t="str">
            <v>Providing &amp; fixing M.S. grills of required pattern to wooden frames of windows etc. with M.S. flats at required spacings and frame alround square or round bars with round headed bolts and nuts or by screws.</v>
          </cell>
          <cell r="C71" t="str">
            <v>Kg</v>
          </cell>
          <cell r="D71">
            <v>213</v>
          </cell>
          <cell r="E71">
            <v>28</v>
          </cell>
          <cell r="F71">
            <v>5964</v>
          </cell>
          <cell r="G71">
            <v>213</v>
          </cell>
          <cell r="H71">
            <v>28</v>
          </cell>
          <cell r="I71">
            <v>5964</v>
          </cell>
          <cell r="J71">
            <v>0</v>
          </cell>
          <cell r="K71">
            <v>213</v>
          </cell>
          <cell r="L71">
            <v>213</v>
          </cell>
          <cell r="M71" t="str">
            <v>-</v>
          </cell>
          <cell r="N71" t="str">
            <v>-</v>
          </cell>
          <cell r="P71" t="str">
            <v>-</v>
          </cell>
          <cell r="Q71" t="str">
            <v>-</v>
          </cell>
          <cell r="R71" t="str">
            <v>-</v>
          </cell>
          <cell r="S71" t="str">
            <v>-</v>
          </cell>
        </row>
        <row r="72">
          <cell r="F72">
            <v>-113928.67028159997</v>
          </cell>
          <cell r="G72" t="str">
            <v>Net Saving than Est. cost</v>
          </cell>
        </row>
      </sheetData>
      <sheetData sheetId="8"/>
      <sheetData sheetId="9"/>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
      <sheetName val="GD"/>
      <sheetName val="Cet.DTP"/>
      <sheetName val="Profoma DTP"/>
      <sheetName val="Sheet2"/>
      <sheetName val="Sch B"/>
      <sheetName val="Asphalt Cons."/>
      <sheetName val="Face sheet"/>
      <sheetName val="Abstract"/>
      <sheetName val="measurement"/>
      <sheetName val="RAwith eml."/>
      <sheetName val="Lead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B7" t="str">
            <v>Providing and laying 30 mm th.Asphaltic Concrete using B.T.aggregate as per MORT &amp; H specification &amp; Bituminous Emulsion  for tack coat at 2.5 kg. / 10 sq.m. with mechanical spreyer and Bitumen grade 60/70 for mixing at 55.00kg./ M.T.i.e.5.5 % of total mi</v>
          </cell>
        </row>
        <row r="13">
          <cell r="B13" t="str">
            <v>Providing and laying 50 mm.thick B.M.using B.T.aggregate as per MORT &amp; H specification and Bituminous Emulsion  for tack coat at 2.5 kg. / 10 sq.m. with mechanical spreyer and Bitumen grade 60/70  for mixing at 34.00kg./ M.T.i.e.3.4% of total mix includin</v>
          </cell>
        </row>
      </sheetData>
      <sheetData sheetId="9" refreshError="1"/>
      <sheetData sheetId="10" refreshError="1"/>
      <sheetData sheetId="11" refreshError="1">
        <row r="14">
          <cell r="N14">
            <v>627.39</v>
          </cell>
        </row>
        <row r="15">
          <cell r="N15">
            <v>627.39</v>
          </cell>
        </row>
        <row r="16">
          <cell r="N16">
            <v>627.39</v>
          </cell>
        </row>
        <row r="17">
          <cell r="N17">
            <v>594.39</v>
          </cell>
        </row>
        <row r="18">
          <cell r="N18">
            <v>561.39</v>
          </cell>
        </row>
        <row r="19">
          <cell r="N19">
            <v>393.39</v>
          </cell>
        </row>
        <row r="20">
          <cell r="N20">
            <v>12178.39</v>
          </cell>
        </row>
        <row r="21">
          <cell r="N21">
            <v>21731.66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
      <sheetName val="GD"/>
      <sheetName val="Cet.DTP"/>
      <sheetName val="Profoma DTP"/>
      <sheetName val="Sheet2"/>
      <sheetName val="Sch B"/>
      <sheetName val="Asphalt Cons."/>
      <sheetName val="Face sheet"/>
      <sheetName val="Abstract"/>
      <sheetName val="measurement"/>
      <sheetName val="RAwith eml."/>
      <sheetName val="Lead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7">
          <cell r="B7" t="str">
            <v>Providing and laying 30 mm th.Asphaltic Concrete using B.T.aggregate as per MORT &amp; H specification &amp; Bituminous Emulsion  for tack coat at 2.5 kg. / 10 sq.m. with mechanical spreyer and Bitumen grade 60/70 for mixing at 55.00kg./ M.T.i.e.5.5 % of total mi</v>
          </cell>
        </row>
        <row r="13">
          <cell r="B13" t="str">
            <v>Providing and laying 50 mm.thick B.M.using B.T.aggregate as per MORT &amp; H specification and Bituminous Emulsion  for tack coat at 2.5 kg. / 10 sq.m. with mechanical spreyer and Bitumen grade 60/70  for mixing at 34.00kg./ M.T.i.e.3.4% of total mix includin</v>
          </cell>
        </row>
      </sheetData>
      <sheetData sheetId="9" refreshError="1"/>
      <sheetData sheetId="10" refreshError="1"/>
      <sheetData sheetId="11" refreshError="1">
        <row r="14">
          <cell r="N14">
            <v>627.39</v>
          </cell>
        </row>
        <row r="15">
          <cell r="N15">
            <v>627.39</v>
          </cell>
        </row>
        <row r="16">
          <cell r="N16">
            <v>627.39</v>
          </cell>
        </row>
        <row r="17">
          <cell r="N17">
            <v>594.39</v>
          </cell>
        </row>
        <row r="18">
          <cell r="N18">
            <v>561.39</v>
          </cell>
        </row>
        <row r="19">
          <cell r="N19">
            <v>393.39</v>
          </cell>
        </row>
        <row r="20">
          <cell r="N20">
            <v>12178.39</v>
          </cell>
        </row>
        <row r="21">
          <cell r="N21">
            <v>21731.66</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Rubble Pitching"/>
      <sheetName val="Face sheet"/>
      <sheetName val="RA"/>
      <sheetName val="Measurement"/>
      <sheetName val="Abs"/>
    </sheetNames>
    <sheetDataSet>
      <sheetData sheetId="0" refreshError="1"/>
      <sheetData sheetId="1" refreshError="1"/>
      <sheetData sheetId="2" refreshError="1"/>
      <sheetData sheetId="3" refreshError="1">
        <row r="156">
          <cell r="L156">
            <v>500</v>
          </cell>
        </row>
      </sheetData>
      <sheetData sheetId="4" refreshError="1">
        <row r="18">
          <cell r="B18" t="str">
            <v>Providing and laying Cement concrete 1:4:8 (1 cement:4coarse sand:8 hand broken stone aggregate 40mm nominal size ) and curing complete excluding the cost of form work in foundation and plinth.</v>
          </cell>
        </row>
        <row r="25">
          <cell r="B25" t="str">
            <v>Brick work using common burnt clay building bricks having crushing strength not less than 35 kg. Per sq.mt. In foundation and plinth in   cement mortar 1:6 (1 cement :6 fine sand )( B ) Conventional.</v>
          </cell>
        </row>
        <row r="32">
          <cell r="B32" t="str">
            <v>Providing and laying Cement concrete 1:3:6 (1 cement: 3 coarse sand:6 crushed stone aggregate 20mm nominal size ) and curing complete including the cost of form work. Wall cap / coping.</v>
          </cell>
        </row>
        <row r="39">
          <cell r="B39" t="str">
            <v xml:space="preserve">Providing 15 mm. Thick cement plaster in single coat on brick / concrete wall for  interrior plastering up to floor two level ,finished even  and smooth in cement  mortor 1:3 ( 1cement ; 3 sand ) </v>
          </cell>
        </row>
        <row r="50">
          <cell r="B50" t="str">
            <v>Providing &amp; laying 22.5 cm thick dry rubble stone pitching  on side slope on existing earth work with 30cm x 22.50cm wide U.C.R. masonary in C.M. 1:5 at 3.30 mt. cemter with middle patta including  providing gutter as per detail drawing with U.C.R. masonr</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Rubble Pitching"/>
      <sheetName val="Face sheet"/>
      <sheetName val="RA"/>
      <sheetName val="Measurement"/>
      <sheetName val="Abs"/>
    </sheetNames>
    <sheetDataSet>
      <sheetData sheetId="0" refreshError="1"/>
      <sheetData sheetId="1" refreshError="1"/>
      <sheetData sheetId="2" refreshError="1"/>
      <sheetData sheetId="3" refreshError="1">
        <row r="156">
          <cell r="L156">
            <v>500</v>
          </cell>
        </row>
      </sheetData>
      <sheetData sheetId="4" refreshError="1">
        <row r="18">
          <cell r="B18" t="str">
            <v>Providing and laying Cement concrete 1:4:8 (1 cement:4coarse sand:8 hand broken stone aggregate 40mm nominal size ) and curing complete excluding the cost of form work in foundation and plinth.</v>
          </cell>
        </row>
        <row r="25">
          <cell r="B25" t="str">
            <v>Brick work using common burnt clay building bricks having crushing strength not less than 35 kg. Per sq.mt. In foundation and plinth in   cement mortar 1:6 (1 cement :6 fine sand )( B ) Conventional.</v>
          </cell>
        </row>
        <row r="32">
          <cell r="B32" t="str">
            <v>Providing and laying Cement concrete 1:3:6 (1 cement: 3 coarse sand:6 crushed stone aggregate 20mm nominal size ) and curing complete including the cost of form work. Wall cap / coping.</v>
          </cell>
        </row>
        <row r="39">
          <cell r="B39" t="str">
            <v xml:space="preserve">Providing 15 mm. Thick cement plaster in single coat on brick / concrete wall for  interrior plastering up to floor two level ,finished even  and smooth in cement  mortor 1:3 ( 1cement ; 3 sand ) </v>
          </cell>
        </row>
        <row r="50">
          <cell r="B50" t="str">
            <v>Providing &amp; laying 22.5 cm thick dry rubble stone pitching  on side slope on existing earth work with 30cm x 22.50cm wide U.C.R. masonary in C.M. 1:5 at 3.30 mt. cemter with middle patta including  providing gutter as per detail drawing with U.C.R. masonr</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ow r="4">
          <cell r="G4">
            <v>206</v>
          </cell>
        </row>
        <row r="6">
          <cell r="G6">
            <v>4500</v>
          </cell>
        </row>
        <row r="8">
          <cell r="G8">
            <v>72</v>
          </cell>
        </row>
        <row r="9">
          <cell r="G9">
            <v>128</v>
          </cell>
        </row>
        <row r="10">
          <cell r="G10">
            <v>692</v>
          </cell>
        </row>
        <row r="11">
          <cell r="G11">
            <v>150</v>
          </cell>
        </row>
        <row r="15">
          <cell r="G15">
            <v>475</v>
          </cell>
        </row>
        <row r="19">
          <cell r="G19">
            <v>230</v>
          </cell>
        </row>
        <row r="21">
          <cell r="G21">
            <v>1700</v>
          </cell>
        </row>
        <row r="24">
          <cell r="G24">
            <v>780</v>
          </cell>
        </row>
        <row r="25">
          <cell r="G25">
            <v>1700</v>
          </cell>
        </row>
        <row r="28">
          <cell r="G28">
            <v>629</v>
          </cell>
        </row>
        <row r="34">
          <cell r="G34">
            <v>295</v>
          </cell>
        </row>
        <row r="45">
          <cell r="G45">
            <v>200</v>
          </cell>
        </row>
        <row r="48">
          <cell r="G48">
            <v>234</v>
          </cell>
        </row>
        <row r="49">
          <cell r="G49">
            <v>234</v>
          </cell>
        </row>
        <row r="51">
          <cell r="G51">
            <v>994</v>
          </cell>
        </row>
        <row r="53">
          <cell r="G53">
            <v>200</v>
          </cell>
        </row>
      </sheetData>
      <sheetData sheetId="3">
        <row r="4">
          <cell r="D4">
            <v>88</v>
          </cell>
        </row>
        <row r="8">
          <cell r="D8">
            <v>86.7</v>
          </cell>
        </row>
        <row r="14">
          <cell r="D14">
            <v>96.4</v>
          </cell>
        </row>
        <row r="16">
          <cell r="D16">
            <v>86.7</v>
          </cell>
        </row>
        <row r="17">
          <cell r="D17">
            <v>86.7</v>
          </cell>
        </row>
        <row r="18">
          <cell r="D18">
            <v>86.7</v>
          </cell>
        </row>
      </sheetData>
      <sheetData sheetId="4">
        <row r="23">
          <cell r="D23">
            <v>170</v>
          </cell>
        </row>
        <row r="24">
          <cell r="D24">
            <v>170</v>
          </cell>
        </row>
        <row r="37">
          <cell r="D37">
            <v>35</v>
          </cell>
        </row>
        <row r="39">
          <cell r="D39">
            <v>16745</v>
          </cell>
        </row>
        <row r="40">
          <cell r="D40">
            <v>17201.41</v>
          </cell>
        </row>
        <row r="41">
          <cell r="D41">
            <v>22160.36</v>
          </cell>
        </row>
        <row r="42">
          <cell r="D42">
            <v>13850</v>
          </cell>
        </row>
        <row r="43">
          <cell r="D43">
            <v>12600</v>
          </cell>
        </row>
        <row r="44">
          <cell r="D44">
            <v>11190.91</v>
          </cell>
        </row>
        <row r="45">
          <cell r="D45">
            <v>11790.2</v>
          </cell>
        </row>
        <row r="51">
          <cell r="D51">
            <v>2620</v>
          </cell>
        </row>
        <row r="89">
          <cell r="D89">
            <v>100</v>
          </cell>
        </row>
        <row r="103">
          <cell r="D103">
            <v>25000</v>
          </cell>
        </row>
        <row r="104">
          <cell r="D104">
            <v>28</v>
          </cell>
        </row>
        <row r="105">
          <cell r="D105">
            <v>520</v>
          </cell>
        </row>
        <row r="113">
          <cell r="D113">
            <v>3110</v>
          </cell>
        </row>
        <row r="114">
          <cell r="D114">
            <v>2651</v>
          </cell>
        </row>
        <row r="115">
          <cell r="D115">
            <v>1566</v>
          </cell>
        </row>
        <row r="146">
          <cell r="D146">
            <v>10</v>
          </cell>
        </row>
        <row r="153">
          <cell r="D153">
            <v>137.15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ow r="4">
          <cell r="G4">
            <v>206</v>
          </cell>
        </row>
        <row r="6">
          <cell r="G6">
            <v>4500</v>
          </cell>
        </row>
        <row r="8">
          <cell r="G8">
            <v>72</v>
          </cell>
        </row>
        <row r="9">
          <cell r="G9">
            <v>128</v>
          </cell>
        </row>
        <row r="10">
          <cell r="G10">
            <v>692</v>
          </cell>
        </row>
        <row r="11">
          <cell r="G11">
            <v>150</v>
          </cell>
        </row>
        <row r="15">
          <cell r="G15">
            <v>475</v>
          </cell>
        </row>
        <row r="19">
          <cell r="G19">
            <v>230</v>
          </cell>
        </row>
        <row r="21">
          <cell r="G21">
            <v>1700</v>
          </cell>
        </row>
        <row r="24">
          <cell r="G24">
            <v>780</v>
          </cell>
        </row>
        <row r="25">
          <cell r="G25">
            <v>1700</v>
          </cell>
        </row>
        <row r="28">
          <cell r="G28">
            <v>629</v>
          </cell>
        </row>
        <row r="34">
          <cell r="G34">
            <v>295</v>
          </cell>
        </row>
        <row r="45">
          <cell r="G45">
            <v>200</v>
          </cell>
        </row>
        <row r="48">
          <cell r="G48">
            <v>234</v>
          </cell>
        </row>
        <row r="49">
          <cell r="G49">
            <v>234</v>
          </cell>
        </row>
        <row r="51">
          <cell r="G51">
            <v>994</v>
          </cell>
        </row>
        <row r="53">
          <cell r="G53">
            <v>200</v>
          </cell>
        </row>
      </sheetData>
      <sheetData sheetId="3">
        <row r="4">
          <cell r="D4">
            <v>88</v>
          </cell>
        </row>
        <row r="8">
          <cell r="D8">
            <v>86.7</v>
          </cell>
        </row>
        <row r="14">
          <cell r="D14">
            <v>96.4</v>
          </cell>
        </row>
        <row r="16">
          <cell r="D16">
            <v>86.7</v>
          </cell>
        </row>
        <row r="17">
          <cell r="D17">
            <v>86.7</v>
          </cell>
        </row>
        <row r="18">
          <cell r="D18">
            <v>86.7</v>
          </cell>
        </row>
      </sheetData>
      <sheetData sheetId="4">
        <row r="23">
          <cell r="D23">
            <v>170</v>
          </cell>
        </row>
        <row r="24">
          <cell r="D24">
            <v>170</v>
          </cell>
        </row>
        <row r="37">
          <cell r="D37">
            <v>35</v>
          </cell>
        </row>
        <row r="39">
          <cell r="D39">
            <v>16745</v>
          </cell>
        </row>
        <row r="40">
          <cell r="D40">
            <v>17201.41</v>
          </cell>
        </row>
        <row r="41">
          <cell r="D41">
            <v>22160.36</v>
          </cell>
        </row>
        <row r="42">
          <cell r="D42">
            <v>13850</v>
          </cell>
        </row>
        <row r="43">
          <cell r="D43">
            <v>12600</v>
          </cell>
        </row>
        <row r="44">
          <cell r="D44">
            <v>11190.91</v>
          </cell>
        </row>
        <row r="45">
          <cell r="D45">
            <v>11790.2</v>
          </cell>
        </row>
        <row r="51">
          <cell r="D51">
            <v>2620</v>
          </cell>
        </row>
        <row r="89">
          <cell r="D89">
            <v>100</v>
          </cell>
        </row>
        <row r="103">
          <cell r="D103">
            <v>25000</v>
          </cell>
        </row>
        <row r="104">
          <cell r="D104">
            <v>28</v>
          </cell>
        </row>
        <row r="105">
          <cell r="D105">
            <v>520</v>
          </cell>
        </row>
        <row r="113">
          <cell r="D113">
            <v>3110</v>
          </cell>
        </row>
        <row r="114">
          <cell r="D114">
            <v>2651</v>
          </cell>
        </row>
        <row r="115">
          <cell r="D115">
            <v>1566</v>
          </cell>
        </row>
        <row r="146">
          <cell r="D146">
            <v>10</v>
          </cell>
        </row>
        <row r="153">
          <cell r="D153">
            <v>137.15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4 (2)"/>
      <sheetName val="P 1 (2)"/>
      <sheetName val="P 1"/>
      <sheetName val="P2"/>
      <sheetName val="P 3"/>
      <sheetName val="P4"/>
    </sheetNames>
    <sheetDataSet>
      <sheetData sheetId="0" refreshError="1">
        <row r="13">
          <cell r="F13" t="str">
            <v>(Item -4-5…… (K)</v>
          </cell>
        </row>
        <row r="17">
          <cell r="F17" t="str">
            <v xml:space="preserve">Rs. </v>
          </cell>
          <cell r="G17" t="str">
            <v>P.</v>
          </cell>
        </row>
        <row r="33">
          <cell r="F33" t="str">
            <v>Executive Engineer</v>
          </cell>
        </row>
        <row r="34">
          <cell r="F34" t="str">
            <v>R &amp; B Division Nadiad</v>
          </cell>
        </row>
        <row r="40">
          <cell r="F40" t="str">
            <v>( Full Signature of the Contractor)</v>
          </cell>
        </row>
        <row r="43">
          <cell r="G43" t="str">
            <v>Cashier</v>
          </cell>
        </row>
      </sheetData>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4 (2)"/>
      <sheetName val="P 1 (2)"/>
      <sheetName val="P 1"/>
      <sheetName val="P2"/>
      <sheetName val="P 3"/>
      <sheetName val="P4"/>
    </sheetNames>
    <sheetDataSet>
      <sheetData sheetId="0">
        <row r="13">
          <cell r="F13" t="str">
            <v>(Item -4-5…… (K)</v>
          </cell>
        </row>
        <row r="17">
          <cell r="F17" t="str">
            <v xml:space="preserve">Rs. </v>
          </cell>
          <cell r="G17" t="str">
            <v>P.</v>
          </cell>
        </row>
        <row r="33">
          <cell r="F33" t="str">
            <v>Executive Engineer</v>
          </cell>
        </row>
        <row r="34">
          <cell r="F34" t="str">
            <v>R &amp; B Division Nadiad</v>
          </cell>
        </row>
        <row r="40">
          <cell r="F40" t="str">
            <v>( Full Signature of the Contractor)</v>
          </cell>
        </row>
        <row r="43">
          <cell r="G43" t="str">
            <v>Cashier</v>
          </cell>
        </row>
      </sheetData>
      <sheetData sheetId="1" refreshError="1"/>
      <sheetData sheetId="2" refreshError="1"/>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fication"/>
      <sheetName val="Amt put and not put to tender"/>
      <sheetName val="DTP FRONT PAGE"/>
      <sheetName val="WORK PROGRAMME"/>
      <sheetName val="Asphalt consumption"/>
      <sheetName val="Blank Schedule B"/>
      <sheetName val="Schedule B"/>
      <sheetName val="Abstract."/>
      <sheetName val="Gen RA for BSG"/>
      <sheetName val="Gen R.A. for Paver"/>
      <sheetName val="Face Sheet"/>
      <sheetName val="Measurement"/>
      <sheetName val="BSG RA"/>
      <sheetName val="Paver R.A."/>
    </sheetNames>
    <sheetDataSet>
      <sheetData sheetId="0"/>
      <sheetData sheetId="1"/>
      <sheetData sheetId="2"/>
      <sheetData sheetId="3"/>
      <sheetData sheetId="4"/>
      <sheetData sheetId="5"/>
      <sheetData sheetId="6"/>
      <sheetData sheetId="7">
        <row r="45">
          <cell r="H45">
            <v>12500000</v>
          </cell>
        </row>
      </sheetData>
      <sheetData sheetId="8"/>
      <sheetData sheetId="9"/>
      <sheetData sheetId="10"/>
      <sheetData sheetId="11"/>
      <sheetData sheetId="12"/>
      <sheetData sheetId="1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fication"/>
      <sheetName val="Amt put and not put to tender"/>
      <sheetName val="DTP FRONT PAGE"/>
      <sheetName val="WORK PROGRAMME"/>
      <sheetName val="Asphalt consumption"/>
      <sheetName val="Blank Schedule B"/>
      <sheetName val="Schedule B"/>
      <sheetName val="Abstract."/>
      <sheetName val="Gen RA for BSG"/>
      <sheetName val="Gen R.A. for Paver"/>
      <sheetName val="Face Sheet"/>
      <sheetName val="Measurement"/>
      <sheetName val="BSG RA"/>
      <sheetName val="Paver R.A."/>
    </sheetNames>
    <sheetDataSet>
      <sheetData sheetId="0"/>
      <sheetData sheetId="1"/>
      <sheetData sheetId="2"/>
      <sheetData sheetId="3"/>
      <sheetData sheetId="4"/>
      <sheetData sheetId="5"/>
      <sheetData sheetId="6"/>
      <sheetData sheetId="7">
        <row r="45">
          <cell r="H45">
            <v>12500000</v>
          </cell>
        </row>
      </sheetData>
      <sheetData sheetId="8"/>
      <sheetData sheetId="9"/>
      <sheetData sheetId="10"/>
      <sheetData sheetId="11"/>
      <sheetData sheetId="12"/>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
      <sheetName val="General (2)"/>
      <sheetName val="Abstract"/>
      <sheetName val="Measurment"/>
      <sheetName val="RAA"/>
      <sheetName val="RATEANALYSIS"/>
      <sheetName val="LEVEL (2)"/>
      <sheetName val="C.D"/>
      <sheetName val="Gutter"/>
      <sheetName val="Road Section"/>
      <sheetName val="L.S."/>
      <sheetName val="dp1"/>
      <sheetName val="dp2"/>
      <sheetName val="dp2#cd"/>
      <sheetName val="Sheet5"/>
      <sheetName val="Sheet6"/>
      <sheetName val="CBRGR"/>
      <sheetName val="BARA"/>
      <sheetName val="RADPR"/>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
      <sheetName val="General (2)"/>
      <sheetName val="Abstract"/>
      <sheetName val="Measurment"/>
      <sheetName val="RAA"/>
      <sheetName val="RATEANALYSIS"/>
      <sheetName val="LEVEL (2)"/>
      <sheetName val="C.D"/>
      <sheetName val="Gutter"/>
      <sheetName val="Road Section"/>
      <sheetName val="L.S."/>
      <sheetName val="dp1"/>
      <sheetName val="dp2"/>
      <sheetName val="dp2#cd"/>
      <sheetName val="Sheet5"/>
      <sheetName val="Sheet6"/>
      <sheetName val="CBRGR"/>
      <sheetName val="BARA"/>
      <sheetName val="RADPR"/>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opLeftCell="A13" workbookViewId="0">
      <selection activeCell="J34" sqref="J34"/>
    </sheetView>
  </sheetViews>
  <sheetFormatPr defaultRowHeight="13.2" x14ac:dyDescent="0.25"/>
  <cols>
    <col min="1" max="2" width="9.109375" style="1"/>
    <col min="3" max="3" width="15.6640625" style="1" customWidth="1"/>
    <col min="4" max="4" width="2" style="1" customWidth="1"/>
    <col min="5" max="6" width="9.109375" style="1"/>
    <col min="7" max="7" width="11" style="1" customWidth="1"/>
    <col min="8" max="8" width="11.6640625" style="1" customWidth="1"/>
    <col min="9" max="9" width="14.6640625" style="1" customWidth="1"/>
    <col min="10" max="258" width="9.109375" style="1"/>
    <col min="259" max="259" width="15.6640625" style="1" customWidth="1"/>
    <col min="260" max="260" width="2" style="1" customWidth="1"/>
    <col min="261" max="262" width="9.109375" style="1"/>
    <col min="263" max="263" width="11" style="1" customWidth="1"/>
    <col min="264" max="264" width="11.6640625" style="1" customWidth="1"/>
    <col min="265" max="265" width="14.6640625" style="1" customWidth="1"/>
    <col min="266" max="514" width="9.109375" style="1"/>
    <col min="515" max="515" width="15.6640625" style="1" customWidth="1"/>
    <col min="516" max="516" width="2" style="1" customWidth="1"/>
    <col min="517" max="518" width="9.109375" style="1"/>
    <col min="519" max="519" width="11" style="1" customWidth="1"/>
    <col min="520" max="520" width="11.6640625" style="1" customWidth="1"/>
    <col min="521" max="521" width="14.6640625" style="1" customWidth="1"/>
    <col min="522" max="770" width="9.109375" style="1"/>
    <col min="771" max="771" width="15.6640625" style="1" customWidth="1"/>
    <col min="772" max="772" width="2" style="1" customWidth="1"/>
    <col min="773" max="774" width="9.109375" style="1"/>
    <col min="775" max="775" width="11" style="1" customWidth="1"/>
    <col min="776" max="776" width="11.6640625" style="1" customWidth="1"/>
    <col min="777" max="777" width="14.6640625" style="1" customWidth="1"/>
    <col min="778" max="1026" width="9.109375" style="1"/>
    <col min="1027" max="1027" width="15.6640625" style="1" customWidth="1"/>
    <col min="1028" max="1028" width="2" style="1" customWidth="1"/>
    <col min="1029" max="1030" width="9.109375" style="1"/>
    <col min="1031" max="1031" width="11" style="1" customWidth="1"/>
    <col min="1032" max="1032" width="11.6640625" style="1" customWidth="1"/>
    <col min="1033" max="1033" width="14.6640625" style="1" customWidth="1"/>
    <col min="1034" max="1282" width="9.109375" style="1"/>
    <col min="1283" max="1283" width="15.6640625" style="1" customWidth="1"/>
    <col min="1284" max="1284" width="2" style="1" customWidth="1"/>
    <col min="1285" max="1286" width="9.109375" style="1"/>
    <col min="1287" max="1287" width="11" style="1" customWidth="1"/>
    <col min="1288" max="1288" width="11.6640625" style="1" customWidth="1"/>
    <col min="1289" max="1289" width="14.6640625" style="1" customWidth="1"/>
    <col min="1290" max="1538" width="9.109375" style="1"/>
    <col min="1539" max="1539" width="15.6640625" style="1" customWidth="1"/>
    <col min="1540" max="1540" width="2" style="1" customWidth="1"/>
    <col min="1541" max="1542" width="9.109375" style="1"/>
    <col min="1543" max="1543" width="11" style="1" customWidth="1"/>
    <col min="1544" max="1544" width="11.6640625" style="1" customWidth="1"/>
    <col min="1545" max="1545" width="14.6640625" style="1" customWidth="1"/>
    <col min="1546" max="1794" width="9.109375" style="1"/>
    <col min="1795" max="1795" width="15.6640625" style="1" customWidth="1"/>
    <col min="1796" max="1796" width="2" style="1" customWidth="1"/>
    <col min="1797" max="1798" width="9.109375" style="1"/>
    <col min="1799" max="1799" width="11" style="1" customWidth="1"/>
    <col min="1800" max="1800" width="11.6640625" style="1" customWidth="1"/>
    <col min="1801" max="1801" width="14.6640625" style="1" customWidth="1"/>
    <col min="1802" max="2050" width="9.109375" style="1"/>
    <col min="2051" max="2051" width="15.6640625" style="1" customWidth="1"/>
    <col min="2052" max="2052" width="2" style="1" customWidth="1"/>
    <col min="2053" max="2054" width="9.109375" style="1"/>
    <col min="2055" max="2055" width="11" style="1" customWidth="1"/>
    <col min="2056" max="2056" width="11.6640625" style="1" customWidth="1"/>
    <col min="2057" max="2057" width="14.6640625" style="1" customWidth="1"/>
    <col min="2058" max="2306" width="9.109375" style="1"/>
    <col min="2307" max="2307" width="15.6640625" style="1" customWidth="1"/>
    <col min="2308" max="2308" width="2" style="1" customWidth="1"/>
    <col min="2309" max="2310" width="9.109375" style="1"/>
    <col min="2311" max="2311" width="11" style="1" customWidth="1"/>
    <col min="2312" max="2312" width="11.6640625" style="1" customWidth="1"/>
    <col min="2313" max="2313" width="14.6640625" style="1" customWidth="1"/>
    <col min="2314" max="2562" width="9.109375" style="1"/>
    <col min="2563" max="2563" width="15.6640625" style="1" customWidth="1"/>
    <col min="2564" max="2564" width="2" style="1" customWidth="1"/>
    <col min="2565" max="2566" width="9.109375" style="1"/>
    <col min="2567" max="2567" width="11" style="1" customWidth="1"/>
    <col min="2568" max="2568" width="11.6640625" style="1" customWidth="1"/>
    <col min="2569" max="2569" width="14.6640625" style="1" customWidth="1"/>
    <col min="2570" max="2818" width="9.109375" style="1"/>
    <col min="2819" max="2819" width="15.6640625" style="1" customWidth="1"/>
    <col min="2820" max="2820" width="2" style="1" customWidth="1"/>
    <col min="2821" max="2822" width="9.109375" style="1"/>
    <col min="2823" max="2823" width="11" style="1" customWidth="1"/>
    <col min="2824" max="2824" width="11.6640625" style="1" customWidth="1"/>
    <col min="2825" max="2825" width="14.6640625" style="1" customWidth="1"/>
    <col min="2826" max="3074" width="9.109375" style="1"/>
    <col min="3075" max="3075" width="15.6640625" style="1" customWidth="1"/>
    <col min="3076" max="3076" width="2" style="1" customWidth="1"/>
    <col min="3077" max="3078" width="9.109375" style="1"/>
    <col min="3079" max="3079" width="11" style="1" customWidth="1"/>
    <col min="3080" max="3080" width="11.6640625" style="1" customWidth="1"/>
    <col min="3081" max="3081" width="14.6640625" style="1" customWidth="1"/>
    <col min="3082" max="3330" width="9.109375" style="1"/>
    <col min="3331" max="3331" width="15.6640625" style="1" customWidth="1"/>
    <col min="3332" max="3332" width="2" style="1" customWidth="1"/>
    <col min="3333" max="3334" width="9.109375" style="1"/>
    <col min="3335" max="3335" width="11" style="1" customWidth="1"/>
    <col min="3336" max="3336" width="11.6640625" style="1" customWidth="1"/>
    <col min="3337" max="3337" width="14.6640625" style="1" customWidth="1"/>
    <col min="3338" max="3586" width="9.109375" style="1"/>
    <col min="3587" max="3587" width="15.6640625" style="1" customWidth="1"/>
    <col min="3588" max="3588" width="2" style="1" customWidth="1"/>
    <col min="3589" max="3590" width="9.109375" style="1"/>
    <col min="3591" max="3591" width="11" style="1" customWidth="1"/>
    <col min="3592" max="3592" width="11.6640625" style="1" customWidth="1"/>
    <col min="3593" max="3593" width="14.6640625" style="1" customWidth="1"/>
    <col min="3594" max="3842" width="9.109375" style="1"/>
    <col min="3843" max="3843" width="15.6640625" style="1" customWidth="1"/>
    <col min="3844" max="3844" width="2" style="1" customWidth="1"/>
    <col min="3845" max="3846" width="9.109375" style="1"/>
    <col min="3847" max="3847" width="11" style="1" customWidth="1"/>
    <col min="3848" max="3848" width="11.6640625" style="1" customWidth="1"/>
    <col min="3849" max="3849" width="14.6640625" style="1" customWidth="1"/>
    <col min="3850" max="4098" width="9.109375" style="1"/>
    <col min="4099" max="4099" width="15.6640625" style="1" customWidth="1"/>
    <col min="4100" max="4100" width="2" style="1" customWidth="1"/>
    <col min="4101" max="4102" width="9.109375" style="1"/>
    <col min="4103" max="4103" width="11" style="1" customWidth="1"/>
    <col min="4104" max="4104" width="11.6640625" style="1" customWidth="1"/>
    <col min="4105" max="4105" width="14.6640625" style="1" customWidth="1"/>
    <col min="4106" max="4354" width="9.109375" style="1"/>
    <col min="4355" max="4355" width="15.6640625" style="1" customWidth="1"/>
    <col min="4356" max="4356" width="2" style="1" customWidth="1"/>
    <col min="4357" max="4358" width="9.109375" style="1"/>
    <col min="4359" max="4359" width="11" style="1" customWidth="1"/>
    <col min="4360" max="4360" width="11.6640625" style="1" customWidth="1"/>
    <col min="4361" max="4361" width="14.6640625" style="1" customWidth="1"/>
    <col min="4362" max="4610" width="9.109375" style="1"/>
    <col min="4611" max="4611" width="15.6640625" style="1" customWidth="1"/>
    <col min="4612" max="4612" width="2" style="1" customWidth="1"/>
    <col min="4613" max="4614" width="9.109375" style="1"/>
    <col min="4615" max="4615" width="11" style="1" customWidth="1"/>
    <col min="4616" max="4616" width="11.6640625" style="1" customWidth="1"/>
    <col min="4617" max="4617" width="14.6640625" style="1" customWidth="1"/>
    <col min="4618" max="4866" width="9.109375" style="1"/>
    <col min="4867" max="4867" width="15.6640625" style="1" customWidth="1"/>
    <col min="4868" max="4868" width="2" style="1" customWidth="1"/>
    <col min="4869" max="4870" width="9.109375" style="1"/>
    <col min="4871" max="4871" width="11" style="1" customWidth="1"/>
    <col min="4872" max="4872" width="11.6640625" style="1" customWidth="1"/>
    <col min="4873" max="4873" width="14.6640625" style="1" customWidth="1"/>
    <col min="4874" max="5122" width="9.109375" style="1"/>
    <col min="5123" max="5123" width="15.6640625" style="1" customWidth="1"/>
    <col min="5124" max="5124" width="2" style="1" customWidth="1"/>
    <col min="5125" max="5126" width="9.109375" style="1"/>
    <col min="5127" max="5127" width="11" style="1" customWidth="1"/>
    <col min="5128" max="5128" width="11.6640625" style="1" customWidth="1"/>
    <col min="5129" max="5129" width="14.6640625" style="1" customWidth="1"/>
    <col min="5130" max="5378" width="9.109375" style="1"/>
    <col min="5379" max="5379" width="15.6640625" style="1" customWidth="1"/>
    <col min="5380" max="5380" width="2" style="1" customWidth="1"/>
    <col min="5381" max="5382" width="9.109375" style="1"/>
    <col min="5383" max="5383" width="11" style="1" customWidth="1"/>
    <col min="5384" max="5384" width="11.6640625" style="1" customWidth="1"/>
    <col min="5385" max="5385" width="14.6640625" style="1" customWidth="1"/>
    <col min="5386" max="5634" width="9.109375" style="1"/>
    <col min="5635" max="5635" width="15.6640625" style="1" customWidth="1"/>
    <col min="5636" max="5636" width="2" style="1" customWidth="1"/>
    <col min="5637" max="5638" width="9.109375" style="1"/>
    <col min="5639" max="5639" width="11" style="1" customWidth="1"/>
    <col min="5640" max="5640" width="11.6640625" style="1" customWidth="1"/>
    <col min="5641" max="5641" width="14.6640625" style="1" customWidth="1"/>
    <col min="5642" max="5890" width="9.109375" style="1"/>
    <col min="5891" max="5891" width="15.6640625" style="1" customWidth="1"/>
    <col min="5892" max="5892" width="2" style="1" customWidth="1"/>
    <col min="5893" max="5894" width="9.109375" style="1"/>
    <col min="5895" max="5895" width="11" style="1" customWidth="1"/>
    <col min="5896" max="5896" width="11.6640625" style="1" customWidth="1"/>
    <col min="5897" max="5897" width="14.6640625" style="1" customWidth="1"/>
    <col min="5898" max="6146" width="9.109375" style="1"/>
    <col min="6147" max="6147" width="15.6640625" style="1" customWidth="1"/>
    <col min="6148" max="6148" width="2" style="1" customWidth="1"/>
    <col min="6149" max="6150" width="9.109375" style="1"/>
    <col min="6151" max="6151" width="11" style="1" customWidth="1"/>
    <col min="6152" max="6152" width="11.6640625" style="1" customWidth="1"/>
    <col min="6153" max="6153" width="14.6640625" style="1" customWidth="1"/>
    <col min="6154" max="6402" width="9.109375" style="1"/>
    <col min="6403" max="6403" width="15.6640625" style="1" customWidth="1"/>
    <col min="6404" max="6404" width="2" style="1" customWidth="1"/>
    <col min="6405" max="6406" width="9.109375" style="1"/>
    <col min="6407" max="6407" width="11" style="1" customWidth="1"/>
    <col min="6408" max="6408" width="11.6640625" style="1" customWidth="1"/>
    <col min="6409" max="6409" width="14.6640625" style="1" customWidth="1"/>
    <col min="6410" max="6658" width="9.109375" style="1"/>
    <col min="6659" max="6659" width="15.6640625" style="1" customWidth="1"/>
    <col min="6660" max="6660" width="2" style="1" customWidth="1"/>
    <col min="6661" max="6662" width="9.109375" style="1"/>
    <col min="6663" max="6663" width="11" style="1" customWidth="1"/>
    <col min="6664" max="6664" width="11.6640625" style="1" customWidth="1"/>
    <col min="6665" max="6665" width="14.6640625" style="1" customWidth="1"/>
    <col min="6666" max="6914" width="9.109375" style="1"/>
    <col min="6915" max="6915" width="15.6640625" style="1" customWidth="1"/>
    <col min="6916" max="6916" width="2" style="1" customWidth="1"/>
    <col min="6917" max="6918" width="9.109375" style="1"/>
    <col min="6919" max="6919" width="11" style="1" customWidth="1"/>
    <col min="6920" max="6920" width="11.6640625" style="1" customWidth="1"/>
    <col min="6921" max="6921" width="14.6640625" style="1" customWidth="1"/>
    <col min="6922" max="7170" width="9.109375" style="1"/>
    <col min="7171" max="7171" width="15.6640625" style="1" customWidth="1"/>
    <col min="7172" max="7172" width="2" style="1" customWidth="1"/>
    <col min="7173" max="7174" width="9.109375" style="1"/>
    <col min="7175" max="7175" width="11" style="1" customWidth="1"/>
    <col min="7176" max="7176" width="11.6640625" style="1" customWidth="1"/>
    <col min="7177" max="7177" width="14.6640625" style="1" customWidth="1"/>
    <col min="7178" max="7426" width="9.109375" style="1"/>
    <col min="7427" max="7427" width="15.6640625" style="1" customWidth="1"/>
    <col min="7428" max="7428" width="2" style="1" customWidth="1"/>
    <col min="7429" max="7430" width="9.109375" style="1"/>
    <col min="7431" max="7431" width="11" style="1" customWidth="1"/>
    <col min="7432" max="7432" width="11.6640625" style="1" customWidth="1"/>
    <col min="7433" max="7433" width="14.6640625" style="1" customWidth="1"/>
    <col min="7434" max="7682" width="9.109375" style="1"/>
    <col min="7683" max="7683" width="15.6640625" style="1" customWidth="1"/>
    <col min="7684" max="7684" width="2" style="1" customWidth="1"/>
    <col min="7685" max="7686" width="9.109375" style="1"/>
    <col min="7687" max="7687" width="11" style="1" customWidth="1"/>
    <col min="7688" max="7688" width="11.6640625" style="1" customWidth="1"/>
    <col min="7689" max="7689" width="14.6640625" style="1" customWidth="1"/>
    <col min="7690" max="7938" width="9.109375" style="1"/>
    <col min="7939" max="7939" width="15.6640625" style="1" customWidth="1"/>
    <col min="7940" max="7940" width="2" style="1" customWidth="1"/>
    <col min="7941" max="7942" width="9.109375" style="1"/>
    <col min="7943" max="7943" width="11" style="1" customWidth="1"/>
    <col min="7944" max="7944" width="11.6640625" style="1" customWidth="1"/>
    <col min="7945" max="7945" width="14.6640625" style="1" customWidth="1"/>
    <col min="7946" max="8194" width="9.109375" style="1"/>
    <col min="8195" max="8195" width="15.6640625" style="1" customWidth="1"/>
    <col min="8196" max="8196" width="2" style="1" customWidth="1"/>
    <col min="8197" max="8198" width="9.109375" style="1"/>
    <col min="8199" max="8199" width="11" style="1" customWidth="1"/>
    <col min="8200" max="8200" width="11.6640625" style="1" customWidth="1"/>
    <col min="8201" max="8201" width="14.6640625" style="1" customWidth="1"/>
    <col min="8202" max="8450" width="9.109375" style="1"/>
    <col min="8451" max="8451" width="15.6640625" style="1" customWidth="1"/>
    <col min="8452" max="8452" width="2" style="1" customWidth="1"/>
    <col min="8453" max="8454" width="9.109375" style="1"/>
    <col min="8455" max="8455" width="11" style="1" customWidth="1"/>
    <col min="8456" max="8456" width="11.6640625" style="1" customWidth="1"/>
    <col min="8457" max="8457" width="14.6640625" style="1" customWidth="1"/>
    <col min="8458" max="8706" width="9.109375" style="1"/>
    <col min="8707" max="8707" width="15.6640625" style="1" customWidth="1"/>
    <col min="8708" max="8708" width="2" style="1" customWidth="1"/>
    <col min="8709" max="8710" width="9.109375" style="1"/>
    <col min="8711" max="8711" width="11" style="1" customWidth="1"/>
    <col min="8712" max="8712" width="11.6640625" style="1" customWidth="1"/>
    <col min="8713" max="8713" width="14.6640625" style="1" customWidth="1"/>
    <col min="8714" max="8962" width="9.109375" style="1"/>
    <col min="8963" max="8963" width="15.6640625" style="1" customWidth="1"/>
    <col min="8964" max="8964" width="2" style="1" customWidth="1"/>
    <col min="8965" max="8966" width="9.109375" style="1"/>
    <col min="8967" max="8967" width="11" style="1" customWidth="1"/>
    <col min="8968" max="8968" width="11.6640625" style="1" customWidth="1"/>
    <col min="8969" max="8969" width="14.6640625" style="1" customWidth="1"/>
    <col min="8970" max="9218" width="9.109375" style="1"/>
    <col min="9219" max="9219" width="15.6640625" style="1" customWidth="1"/>
    <col min="9220" max="9220" width="2" style="1" customWidth="1"/>
    <col min="9221" max="9222" width="9.109375" style="1"/>
    <col min="9223" max="9223" width="11" style="1" customWidth="1"/>
    <col min="9224" max="9224" width="11.6640625" style="1" customWidth="1"/>
    <col min="9225" max="9225" width="14.6640625" style="1" customWidth="1"/>
    <col min="9226" max="9474" width="9.109375" style="1"/>
    <col min="9475" max="9475" width="15.6640625" style="1" customWidth="1"/>
    <col min="9476" max="9476" width="2" style="1" customWidth="1"/>
    <col min="9477" max="9478" width="9.109375" style="1"/>
    <col min="9479" max="9479" width="11" style="1" customWidth="1"/>
    <col min="9480" max="9480" width="11.6640625" style="1" customWidth="1"/>
    <col min="9481" max="9481" width="14.6640625" style="1" customWidth="1"/>
    <col min="9482" max="9730" width="9.109375" style="1"/>
    <col min="9731" max="9731" width="15.6640625" style="1" customWidth="1"/>
    <col min="9732" max="9732" width="2" style="1" customWidth="1"/>
    <col min="9733" max="9734" width="9.109375" style="1"/>
    <col min="9735" max="9735" width="11" style="1" customWidth="1"/>
    <col min="9736" max="9736" width="11.6640625" style="1" customWidth="1"/>
    <col min="9737" max="9737" width="14.6640625" style="1" customWidth="1"/>
    <col min="9738" max="9986" width="9.109375" style="1"/>
    <col min="9987" max="9987" width="15.6640625" style="1" customWidth="1"/>
    <col min="9988" max="9988" width="2" style="1" customWidth="1"/>
    <col min="9989" max="9990" width="9.109375" style="1"/>
    <col min="9991" max="9991" width="11" style="1" customWidth="1"/>
    <col min="9992" max="9992" width="11.6640625" style="1" customWidth="1"/>
    <col min="9993" max="9993" width="14.6640625" style="1" customWidth="1"/>
    <col min="9994" max="10242" width="9.109375" style="1"/>
    <col min="10243" max="10243" width="15.6640625" style="1" customWidth="1"/>
    <col min="10244" max="10244" width="2" style="1" customWidth="1"/>
    <col min="10245" max="10246" width="9.109375" style="1"/>
    <col min="10247" max="10247" width="11" style="1" customWidth="1"/>
    <col min="10248" max="10248" width="11.6640625" style="1" customWidth="1"/>
    <col min="10249" max="10249" width="14.6640625" style="1" customWidth="1"/>
    <col min="10250" max="10498" width="9.109375" style="1"/>
    <col min="10499" max="10499" width="15.6640625" style="1" customWidth="1"/>
    <col min="10500" max="10500" width="2" style="1" customWidth="1"/>
    <col min="10501" max="10502" width="9.109375" style="1"/>
    <col min="10503" max="10503" width="11" style="1" customWidth="1"/>
    <col min="10504" max="10504" width="11.6640625" style="1" customWidth="1"/>
    <col min="10505" max="10505" width="14.6640625" style="1" customWidth="1"/>
    <col min="10506" max="10754" width="9.109375" style="1"/>
    <col min="10755" max="10755" width="15.6640625" style="1" customWidth="1"/>
    <col min="10756" max="10756" width="2" style="1" customWidth="1"/>
    <col min="10757" max="10758" width="9.109375" style="1"/>
    <col min="10759" max="10759" width="11" style="1" customWidth="1"/>
    <col min="10760" max="10760" width="11.6640625" style="1" customWidth="1"/>
    <col min="10761" max="10761" width="14.6640625" style="1" customWidth="1"/>
    <col min="10762" max="11010" width="9.109375" style="1"/>
    <col min="11011" max="11011" width="15.6640625" style="1" customWidth="1"/>
    <col min="11012" max="11012" width="2" style="1" customWidth="1"/>
    <col min="11013" max="11014" width="9.109375" style="1"/>
    <col min="11015" max="11015" width="11" style="1" customWidth="1"/>
    <col min="11016" max="11016" width="11.6640625" style="1" customWidth="1"/>
    <col min="11017" max="11017" width="14.6640625" style="1" customWidth="1"/>
    <col min="11018" max="11266" width="9.109375" style="1"/>
    <col min="11267" max="11267" width="15.6640625" style="1" customWidth="1"/>
    <col min="11268" max="11268" width="2" style="1" customWidth="1"/>
    <col min="11269" max="11270" width="9.109375" style="1"/>
    <col min="11271" max="11271" width="11" style="1" customWidth="1"/>
    <col min="11272" max="11272" width="11.6640625" style="1" customWidth="1"/>
    <col min="11273" max="11273" width="14.6640625" style="1" customWidth="1"/>
    <col min="11274" max="11522" width="9.109375" style="1"/>
    <col min="11523" max="11523" width="15.6640625" style="1" customWidth="1"/>
    <col min="11524" max="11524" width="2" style="1" customWidth="1"/>
    <col min="11525" max="11526" width="9.109375" style="1"/>
    <col min="11527" max="11527" width="11" style="1" customWidth="1"/>
    <col min="11528" max="11528" width="11.6640625" style="1" customWidth="1"/>
    <col min="11529" max="11529" width="14.6640625" style="1" customWidth="1"/>
    <col min="11530" max="11778" width="9.109375" style="1"/>
    <col min="11779" max="11779" width="15.6640625" style="1" customWidth="1"/>
    <col min="11780" max="11780" width="2" style="1" customWidth="1"/>
    <col min="11781" max="11782" width="9.109375" style="1"/>
    <col min="11783" max="11783" width="11" style="1" customWidth="1"/>
    <col min="11784" max="11784" width="11.6640625" style="1" customWidth="1"/>
    <col min="11785" max="11785" width="14.6640625" style="1" customWidth="1"/>
    <col min="11786" max="12034" width="9.109375" style="1"/>
    <col min="12035" max="12035" width="15.6640625" style="1" customWidth="1"/>
    <col min="12036" max="12036" width="2" style="1" customWidth="1"/>
    <col min="12037" max="12038" width="9.109375" style="1"/>
    <col min="12039" max="12039" width="11" style="1" customWidth="1"/>
    <col min="12040" max="12040" width="11.6640625" style="1" customWidth="1"/>
    <col min="12041" max="12041" width="14.6640625" style="1" customWidth="1"/>
    <col min="12042" max="12290" width="9.109375" style="1"/>
    <col min="12291" max="12291" width="15.6640625" style="1" customWidth="1"/>
    <col min="12292" max="12292" width="2" style="1" customWidth="1"/>
    <col min="12293" max="12294" width="9.109375" style="1"/>
    <col min="12295" max="12295" width="11" style="1" customWidth="1"/>
    <col min="12296" max="12296" width="11.6640625" style="1" customWidth="1"/>
    <col min="12297" max="12297" width="14.6640625" style="1" customWidth="1"/>
    <col min="12298" max="12546" width="9.109375" style="1"/>
    <col min="12547" max="12547" width="15.6640625" style="1" customWidth="1"/>
    <col min="12548" max="12548" width="2" style="1" customWidth="1"/>
    <col min="12549" max="12550" width="9.109375" style="1"/>
    <col min="12551" max="12551" width="11" style="1" customWidth="1"/>
    <col min="12552" max="12552" width="11.6640625" style="1" customWidth="1"/>
    <col min="12553" max="12553" width="14.6640625" style="1" customWidth="1"/>
    <col min="12554" max="12802" width="9.109375" style="1"/>
    <col min="12803" max="12803" width="15.6640625" style="1" customWidth="1"/>
    <col min="12804" max="12804" width="2" style="1" customWidth="1"/>
    <col min="12805" max="12806" width="9.109375" style="1"/>
    <col min="12807" max="12807" width="11" style="1" customWidth="1"/>
    <col min="12808" max="12808" width="11.6640625" style="1" customWidth="1"/>
    <col min="12809" max="12809" width="14.6640625" style="1" customWidth="1"/>
    <col min="12810" max="13058" width="9.109375" style="1"/>
    <col min="13059" max="13059" width="15.6640625" style="1" customWidth="1"/>
    <col min="13060" max="13060" width="2" style="1" customWidth="1"/>
    <col min="13061" max="13062" width="9.109375" style="1"/>
    <col min="13063" max="13063" width="11" style="1" customWidth="1"/>
    <col min="13064" max="13064" width="11.6640625" style="1" customWidth="1"/>
    <col min="13065" max="13065" width="14.6640625" style="1" customWidth="1"/>
    <col min="13066" max="13314" width="9.109375" style="1"/>
    <col min="13315" max="13315" width="15.6640625" style="1" customWidth="1"/>
    <col min="13316" max="13316" width="2" style="1" customWidth="1"/>
    <col min="13317" max="13318" width="9.109375" style="1"/>
    <col min="13319" max="13319" width="11" style="1" customWidth="1"/>
    <col min="13320" max="13320" width="11.6640625" style="1" customWidth="1"/>
    <col min="13321" max="13321" width="14.6640625" style="1" customWidth="1"/>
    <col min="13322" max="13570" width="9.109375" style="1"/>
    <col min="13571" max="13571" width="15.6640625" style="1" customWidth="1"/>
    <col min="13572" max="13572" width="2" style="1" customWidth="1"/>
    <col min="13573" max="13574" width="9.109375" style="1"/>
    <col min="13575" max="13575" width="11" style="1" customWidth="1"/>
    <col min="13576" max="13576" width="11.6640625" style="1" customWidth="1"/>
    <col min="13577" max="13577" width="14.6640625" style="1" customWidth="1"/>
    <col min="13578" max="13826" width="9.109375" style="1"/>
    <col min="13827" max="13827" width="15.6640625" style="1" customWidth="1"/>
    <col min="13828" max="13828" width="2" style="1" customWidth="1"/>
    <col min="13829" max="13830" width="9.109375" style="1"/>
    <col min="13831" max="13831" width="11" style="1" customWidth="1"/>
    <col min="13832" max="13832" width="11.6640625" style="1" customWidth="1"/>
    <col min="13833" max="13833" width="14.6640625" style="1" customWidth="1"/>
    <col min="13834" max="14082" width="9.109375" style="1"/>
    <col min="14083" max="14083" width="15.6640625" style="1" customWidth="1"/>
    <col min="14084" max="14084" width="2" style="1" customWidth="1"/>
    <col min="14085" max="14086" width="9.109375" style="1"/>
    <col min="14087" max="14087" width="11" style="1" customWidth="1"/>
    <col min="14088" max="14088" width="11.6640625" style="1" customWidth="1"/>
    <col min="14089" max="14089" width="14.6640625" style="1" customWidth="1"/>
    <col min="14090" max="14338" width="9.109375" style="1"/>
    <col min="14339" max="14339" width="15.6640625" style="1" customWidth="1"/>
    <col min="14340" max="14340" width="2" style="1" customWidth="1"/>
    <col min="14341" max="14342" width="9.109375" style="1"/>
    <col min="14343" max="14343" width="11" style="1" customWidth="1"/>
    <col min="14344" max="14344" width="11.6640625" style="1" customWidth="1"/>
    <col min="14345" max="14345" width="14.6640625" style="1" customWidth="1"/>
    <col min="14346" max="14594" width="9.109375" style="1"/>
    <col min="14595" max="14595" width="15.6640625" style="1" customWidth="1"/>
    <col min="14596" max="14596" width="2" style="1" customWidth="1"/>
    <col min="14597" max="14598" width="9.109375" style="1"/>
    <col min="14599" max="14599" width="11" style="1" customWidth="1"/>
    <col min="14600" max="14600" width="11.6640625" style="1" customWidth="1"/>
    <col min="14601" max="14601" width="14.6640625" style="1" customWidth="1"/>
    <col min="14602" max="14850" width="9.109375" style="1"/>
    <col min="14851" max="14851" width="15.6640625" style="1" customWidth="1"/>
    <col min="14852" max="14852" width="2" style="1" customWidth="1"/>
    <col min="14853" max="14854" width="9.109375" style="1"/>
    <col min="14855" max="14855" width="11" style="1" customWidth="1"/>
    <col min="14856" max="14856" width="11.6640625" style="1" customWidth="1"/>
    <col min="14857" max="14857" width="14.6640625" style="1" customWidth="1"/>
    <col min="14858" max="15106" width="9.109375" style="1"/>
    <col min="15107" max="15107" width="15.6640625" style="1" customWidth="1"/>
    <col min="15108" max="15108" width="2" style="1" customWidth="1"/>
    <col min="15109" max="15110" width="9.109375" style="1"/>
    <col min="15111" max="15111" width="11" style="1" customWidth="1"/>
    <col min="15112" max="15112" width="11.6640625" style="1" customWidth="1"/>
    <col min="15113" max="15113" width="14.6640625" style="1" customWidth="1"/>
    <col min="15114" max="15362" width="9.109375" style="1"/>
    <col min="15363" max="15363" width="15.6640625" style="1" customWidth="1"/>
    <col min="15364" max="15364" width="2" style="1" customWidth="1"/>
    <col min="15365" max="15366" width="9.109375" style="1"/>
    <col min="15367" max="15367" width="11" style="1" customWidth="1"/>
    <col min="15368" max="15368" width="11.6640625" style="1" customWidth="1"/>
    <col min="15369" max="15369" width="14.6640625" style="1" customWidth="1"/>
    <col min="15370" max="15618" width="9.109375" style="1"/>
    <col min="15619" max="15619" width="15.6640625" style="1" customWidth="1"/>
    <col min="15620" max="15620" width="2" style="1" customWidth="1"/>
    <col min="15621" max="15622" width="9.109375" style="1"/>
    <col min="15623" max="15623" width="11" style="1" customWidth="1"/>
    <col min="15624" max="15624" width="11.6640625" style="1" customWidth="1"/>
    <col min="15625" max="15625" width="14.6640625" style="1" customWidth="1"/>
    <col min="15626" max="15874" width="9.109375" style="1"/>
    <col min="15875" max="15875" width="15.6640625" style="1" customWidth="1"/>
    <col min="15876" max="15876" width="2" style="1" customWidth="1"/>
    <col min="15877" max="15878" width="9.109375" style="1"/>
    <col min="15879" max="15879" width="11" style="1" customWidth="1"/>
    <col min="15880" max="15880" width="11.6640625" style="1" customWidth="1"/>
    <col min="15881" max="15881" width="14.6640625" style="1" customWidth="1"/>
    <col min="15882" max="16130" width="9.109375" style="1"/>
    <col min="16131" max="16131" width="15.6640625" style="1" customWidth="1"/>
    <col min="16132" max="16132" width="2" style="1" customWidth="1"/>
    <col min="16133" max="16134" width="9.109375" style="1"/>
    <col min="16135" max="16135" width="11" style="1" customWidth="1"/>
    <col min="16136" max="16136" width="11.6640625" style="1" customWidth="1"/>
    <col min="16137" max="16137" width="14.6640625" style="1" customWidth="1"/>
    <col min="16138" max="16384" width="9.109375" style="1"/>
  </cols>
  <sheetData>
    <row r="1" spans="1:9" ht="25.5" customHeight="1" x14ac:dyDescent="0.25">
      <c r="A1" s="156" t="s">
        <v>368</v>
      </c>
      <c r="B1" s="156"/>
      <c r="C1" s="156"/>
      <c r="D1" s="156"/>
      <c r="E1" s="156"/>
      <c r="F1" s="156"/>
      <c r="G1" s="156"/>
      <c r="H1" s="156"/>
      <c r="I1" s="156"/>
    </row>
    <row r="2" spans="1:9" ht="15.6" x14ac:dyDescent="0.3">
      <c r="A2" s="99"/>
      <c r="B2" s="100"/>
      <c r="C2" s="100"/>
      <c r="D2" s="100"/>
      <c r="E2" s="100"/>
      <c r="F2" s="100"/>
      <c r="G2" s="97"/>
      <c r="H2" s="100"/>
      <c r="I2" s="100"/>
    </row>
    <row r="3" spans="1:9" ht="15" x14ac:dyDescent="0.25">
      <c r="A3" s="100"/>
      <c r="B3" s="100"/>
      <c r="C3" s="100"/>
      <c r="D3" s="100"/>
      <c r="E3" s="100"/>
      <c r="F3" s="100"/>
      <c r="G3" s="100"/>
      <c r="H3" s="100"/>
      <c r="I3" s="100"/>
    </row>
    <row r="4" spans="1:9" ht="15.6" x14ac:dyDescent="0.3">
      <c r="A4" s="149" t="s">
        <v>386</v>
      </c>
      <c r="B4" s="149"/>
      <c r="C4" s="149"/>
      <c r="D4" s="101" t="s">
        <v>380</v>
      </c>
      <c r="E4" s="100" t="s">
        <v>387</v>
      </c>
      <c r="F4" s="100"/>
      <c r="G4" s="100"/>
      <c r="H4" s="100"/>
      <c r="I4" s="100"/>
    </row>
    <row r="5" spans="1:9" ht="15" x14ac:dyDescent="0.25">
      <c r="A5" s="100" t="s">
        <v>388</v>
      </c>
      <c r="B5" s="100"/>
      <c r="C5" s="100"/>
      <c r="D5" s="102"/>
      <c r="E5" s="100"/>
      <c r="F5" s="100"/>
      <c r="G5" s="100"/>
      <c r="H5" s="100"/>
      <c r="I5" s="100"/>
    </row>
    <row r="6" spans="1:9" ht="18.75" customHeight="1" x14ac:dyDescent="0.25">
      <c r="A6" s="153" t="s">
        <v>389</v>
      </c>
      <c r="B6" s="153"/>
      <c r="C6" s="153"/>
      <c r="D6" s="103" t="s">
        <v>380</v>
      </c>
      <c r="E6" s="157" t="s">
        <v>402</v>
      </c>
      <c r="F6" s="157"/>
      <c r="G6" s="157"/>
      <c r="H6" s="157"/>
      <c r="I6" s="157"/>
    </row>
    <row r="7" spans="1:9" ht="18.75" customHeight="1" x14ac:dyDescent="0.3">
      <c r="A7" s="100"/>
      <c r="B7" s="100"/>
      <c r="C7" s="100"/>
      <c r="D7" s="102"/>
      <c r="E7" s="158"/>
      <c r="F7" s="158"/>
      <c r="G7" s="158"/>
      <c r="H7" s="158"/>
      <c r="I7" s="158"/>
    </row>
    <row r="8" spans="1:9" ht="15.6" x14ac:dyDescent="0.3">
      <c r="A8" s="149" t="s">
        <v>390</v>
      </c>
      <c r="B8" s="149"/>
      <c r="C8" s="149"/>
      <c r="D8" s="101" t="s">
        <v>380</v>
      </c>
      <c r="E8" s="100"/>
      <c r="F8" s="100"/>
      <c r="G8" s="100"/>
      <c r="H8" s="100"/>
      <c r="I8" s="100"/>
    </row>
    <row r="9" spans="1:9" ht="15" x14ac:dyDescent="0.25">
      <c r="A9" s="100"/>
      <c r="B9" s="100"/>
      <c r="C9" s="100"/>
      <c r="D9" s="102"/>
      <c r="E9" s="100"/>
      <c r="F9" s="100"/>
      <c r="G9" s="100"/>
      <c r="H9" s="100"/>
      <c r="I9" s="100"/>
    </row>
    <row r="10" spans="1:9" ht="15.6" x14ac:dyDescent="0.3">
      <c r="A10" s="149" t="s">
        <v>391</v>
      </c>
      <c r="B10" s="149"/>
      <c r="C10" s="149"/>
      <c r="D10" s="101" t="s">
        <v>380</v>
      </c>
      <c r="E10" s="100"/>
      <c r="F10" s="100"/>
      <c r="G10" s="100"/>
      <c r="H10" s="100"/>
      <c r="I10" s="100"/>
    </row>
    <row r="11" spans="1:9" ht="15" x14ac:dyDescent="0.25">
      <c r="A11" s="100"/>
      <c r="B11" s="100"/>
      <c r="C11" s="100"/>
      <c r="D11" s="102"/>
      <c r="E11" s="100"/>
      <c r="F11" s="100"/>
      <c r="G11" s="100"/>
      <c r="H11" s="100"/>
      <c r="I11" s="100"/>
    </row>
    <row r="12" spans="1:9" ht="15.6" x14ac:dyDescent="0.3">
      <c r="A12" s="149" t="s">
        <v>392</v>
      </c>
      <c r="B12" s="149"/>
      <c r="C12" s="149"/>
      <c r="D12" s="101" t="s">
        <v>380</v>
      </c>
      <c r="E12" s="100"/>
      <c r="F12" s="100"/>
      <c r="G12" s="100"/>
      <c r="H12" s="100"/>
      <c r="I12" s="100"/>
    </row>
    <row r="13" spans="1:9" ht="15" x14ac:dyDescent="0.25">
      <c r="A13" s="100"/>
      <c r="B13" s="100"/>
      <c r="C13" s="100"/>
      <c r="D13" s="100"/>
      <c r="E13" s="100"/>
      <c r="F13" s="100"/>
      <c r="G13" s="100"/>
      <c r="H13" s="100"/>
      <c r="I13" s="100"/>
    </row>
    <row r="14" spans="1:9" ht="84" customHeight="1" x14ac:dyDescent="0.25">
      <c r="A14" s="148" t="s">
        <v>418</v>
      </c>
      <c r="B14" s="148"/>
      <c r="C14" s="148"/>
      <c r="D14" s="148"/>
      <c r="E14" s="148"/>
      <c r="F14" s="148"/>
      <c r="G14" s="148"/>
      <c r="H14" s="148"/>
      <c r="I14" s="148"/>
    </row>
    <row r="15" spans="1:9" ht="15" x14ac:dyDescent="0.25">
      <c r="A15" s="104"/>
      <c r="B15" s="104"/>
      <c r="C15" s="104"/>
      <c r="D15" s="104"/>
      <c r="E15" s="104"/>
      <c r="F15" s="104"/>
      <c r="G15" s="104"/>
      <c r="H15" s="104"/>
      <c r="I15" s="104"/>
    </row>
    <row r="16" spans="1:9" ht="15" x14ac:dyDescent="0.25">
      <c r="A16" s="104"/>
      <c r="B16" s="104"/>
      <c r="C16" s="104"/>
      <c r="D16" s="104"/>
      <c r="E16" s="104"/>
      <c r="F16" s="104"/>
      <c r="G16" s="104"/>
      <c r="H16" s="104"/>
      <c r="I16" s="104"/>
    </row>
    <row r="17" spans="1:9" ht="17.399999999999999" x14ac:dyDescent="0.3">
      <c r="A17" s="100"/>
      <c r="B17" s="100"/>
      <c r="C17" s="100"/>
      <c r="D17" s="100"/>
      <c r="E17" s="100"/>
      <c r="F17" s="100"/>
      <c r="G17" s="105" t="s">
        <v>369</v>
      </c>
      <c r="H17" s="152">
        <f>EST!J39</f>
        <v>168785.69549999997</v>
      </c>
      <c r="I17" s="152"/>
    </row>
    <row r="18" spans="1:9" ht="15" x14ac:dyDescent="0.25">
      <c r="A18" s="106"/>
      <c r="B18" s="100"/>
      <c r="C18" s="100"/>
      <c r="D18" s="100"/>
      <c r="E18" s="100"/>
      <c r="F18" s="100"/>
      <c r="G18" s="100"/>
      <c r="H18" s="100"/>
      <c r="I18" s="100"/>
    </row>
    <row r="19" spans="1:9" ht="15.6" x14ac:dyDescent="0.25">
      <c r="A19" s="153" t="s">
        <v>393</v>
      </c>
      <c r="B19" s="153"/>
      <c r="C19" s="153"/>
      <c r="D19" s="103" t="s">
        <v>380</v>
      </c>
      <c r="E19" s="148"/>
      <c r="F19" s="148"/>
      <c r="G19" s="148"/>
      <c r="H19" s="148"/>
      <c r="I19" s="148"/>
    </row>
    <row r="20" spans="1:9" ht="15" x14ac:dyDescent="0.25">
      <c r="A20" s="100"/>
      <c r="B20" s="100"/>
      <c r="C20" s="100"/>
      <c r="D20" s="102"/>
      <c r="E20" s="100"/>
      <c r="F20" s="100"/>
      <c r="G20" s="100"/>
      <c r="H20" s="100"/>
      <c r="I20" s="100"/>
    </row>
    <row r="21" spans="1:9" ht="15.6" x14ac:dyDescent="0.25">
      <c r="A21" s="153" t="s">
        <v>394</v>
      </c>
      <c r="B21" s="153"/>
      <c r="C21" s="153"/>
      <c r="D21" s="103" t="s">
        <v>380</v>
      </c>
      <c r="E21" s="148"/>
      <c r="F21" s="148"/>
      <c r="G21" s="148"/>
      <c r="H21" s="148"/>
      <c r="I21" s="148"/>
    </row>
    <row r="22" spans="1:9" ht="15" x14ac:dyDescent="0.25">
      <c r="A22" s="100"/>
      <c r="B22" s="100"/>
      <c r="C22" s="100"/>
      <c r="D22" s="102"/>
      <c r="E22" s="100"/>
      <c r="F22" s="100"/>
      <c r="G22" s="100"/>
      <c r="H22" s="100"/>
      <c r="I22" s="100"/>
    </row>
    <row r="23" spans="1:9" ht="15.6" x14ac:dyDescent="0.3">
      <c r="A23" s="100" t="s">
        <v>395</v>
      </c>
      <c r="B23" s="100"/>
      <c r="C23" s="100"/>
      <c r="D23" s="101" t="s">
        <v>380</v>
      </c>
      <c r="E23" s="154" t="s">
        <v>396</v>
      </c>
      <c r="F23" s="154"/>
      <c r="G23" s="154"/>
      <c r="H23" s="154"/>
      <c r="I23" s="100"/>
    </row>
    <row r="24" spans="1:9" ht="15.6" x14ac:dyDescent="0.3">
      <c r="A24" s="107"/>
      <c r="B24" s="100"/>
      <c r="C24" s="100"/>
      <c r="D24" s="100"/>
      <c r="E24" s="149" t="s">
        <v>397</v>
      </c>
      <c r="F24" s="149"/>
      <c r="G24" s="149"/>
      <c r="H24" s="149"/>
      <c r="I24" s="149"/>
    </row>
    <row r="25" spans="1:9" ht="15" x14ac:dyDescent="0.25">
      <c r="A25" s="100"/>
      <c r="B25" s="100"/>
      <c r="C25" s="100"/>
      <c r="D25" s="100"/>
      <c r="E25" s="100"/>
      <c r="F25" s="100"/>
      <c r="G25" s="100"/>
      <c r="H25" s="100"/>
      <c r="I25" s="100"/>
    </row>
    <row r="26" spans="1:9" ht="15.6" x14ac:dyDescent="0.3">
      <c r="A26" s="149" t="s">
        <v>398</v>
      </c>
      <c r="B26" s="149"/>
      <c r="C26" s="149"/>
      <c r="D26" s="103" t="s">
        <v>380</v>
      </c>
      <c r="E26" s="155"/>
      <c r="F26" s="155"/>
      <c r="G26" s="155"/>
      <c r="H26" s="100"/>
      <c r="I26" s="100"/>
    </row>
    <row r="27" spans="1:9" ht="15" x14ac:dyDescent="0.25">
      <c r="A27" s="108"/>
      <c r="B27" s="100"/>
      <c r="C27" s="100"/>
      <c r="D27" s="100"/>
      <c r="E27" s="149" t="s">
        <v>399</v>
      </c>
      <c r="F27" s="149"/>
      <c r="G27" s="149"/>
      <c r="H27" s="149"/>
      <c r="I27" s="149"/>
    </row>
    <row r="28" spans="1:9" ht="15" x14ac:dyDescent="0.25">
      <c r="A28" s="100"/>
      <c r="B28" s="100"/>
      <c r="C28" s="100"/>
      <c r="D28" s="100"/>
      <c r="E28" s="100"/>
      <c r="F28" s="100"/>
      <c r="G28" s="100"/>
      <c r="H28" s="100"/>
      <c r="I28" s="100"/>
    </row>
    <row r="29" spans="1:9" ht="48.75" customHeight="1" x14ac:dyDescent="0.25">
      <c r="A29" s="150" t="s">
        <v>400</v>
      </c>
      <c r="B29" s="150"/>
      <c r="C29" s="150"/>
      <c r="D29" s="109" t="s">
        <v>380</v>
      </c>
      <c r="E29" s="151" t="s">
        <v>403</v>
      </c>
      <c r="F29" s="151"/>
      <c r="G29" s="151"/>
      <c r="H29" s="151"/>
      <c r="I29" s="151"/>
    </row>
    <row r="30" spans="1:9" ht="15" x14ac:dyDescent="0.25">
      <c r="A30" s="100"/>
      <c r="B30" s="100"/>
      <c r="C30" s="100"/>
      <c r="D30" s="100"/>
      <c r="E30" s="100"/>
      <c r="F30" s="100"/>
      <c r="G30" s="100"/>
      <c r="H30" s="100"/>
      <c r="I30" s="100"/>
    </row>
    <row r="31" spans="1:9" ht="15" x14ac:dyDescent="0.25">
      <c r="A31" s="100"/>
      <c r="B31" s="100"/>
      <c r="C31" s="100"/>
      <c r="D31" s="100"/>
      <c r="E31" s="100"/>
      <c r="F31" s="100"/>
      <c r="G31" s="100"/>
      <c r="H31" s="100"/>
      <c r="I31" s="100"/>
    </row>
    <row r="32" spans="1:9" ht="14.25" customHeight="1" x14ac:dyDescent="0.25">
      <c r="A32" s="100"/>
      <c r="B32" s="100"/>
      <c r="C32" s="100"/>
      <c r="D32" s="100"/>
      <c r="E32" s="100"/>
      <c r="F32" s="100"/>
      <c r="G32" s="100"/>
      <c r="H32" s="100"/>
      <c r="I32" s="100"/>
    </row>
    <row r="33" spans="1:9" ht="15" hidden="1" x14ac:dyDescent="0.25">
      <c r="A33" s="100"/>
      <c r="B33" s="100"/>
      <c r="C33" s="100"/>
      <c r="D33" s="100"/>
      <c r="E33" s="100"/>
      <c r="F33" s="100"/>
      <c r="G33" s="100"/>
      <c r="H33" s="100"/>
      <c r="I33" s="100"/>
    </row>
    <row r="34" spans="1:9" ht="26.25" customHeight="1" x14ac:dyDescent="0.25">
      <c r="A34" s="147" t="s">
        <v>401</v>
      </c>
      <c r="B34" s="147"/>
      <c r="C34" s="147"/>
      <c r="D34" s="147"/>
      <c r="E34" s="147"/>
      <c r="F34" s="147"/>
      <c r="G34" s="147"/>
      <c r="H34" s="147"/>
      <c r="I34" s="147"/>
    </row>
    <row r="35" spans="1:9" ht="66" customHeight="1" x14ac:dyDescent="0.25">
      <c r="A35" s="148" t="s">
        <v>419</v>
      </c>
      <c r="B35" s="148"/>
      <c r="C35" s="148"/>
      <c r="D35" s="148"/>
      <c r="E35" s="148"/>
      <c r="F35" s="148"/>
      <c r="G35" s="148"/>
      <c r="H35" s="148"/>
      <c r="I35" s="148"/>
    </row>
  </sheetData>
  <mergeCells count="23">
    <mergeCell ref="E26:G26"/>
    <mergeCell ref="E27:I27"/>
    <mergeCell ref="A1:I1"/>
    <mergeCell ref="A4:C4"/>
    <mergeCell ref="A6:C6"/>
    <mergeCell ref="E6:I6"/>
    <mergeCell ref="E7:I7"/>
    <mergeCell ref="A34:I34"/>
    <mergeCell ref="A35:I35"/>
    <mergeCell ref="A8:C8"/>
    <mergeCell ref="A10:C10"/>
    <mergeCell ref="A12:C12"/>
    <mergeCell ref="A14:I14"/>
    <mergeCell ref="A29:C29"/>
    <mergeCell ref="E29:I29"/>
    <mergeCell ref="H17:I17"/>
    <mergeCell ref="A19:C19"/>
    <mergeCell ref="E19:I19"/>
    <mergeCell ref="A21:C21"/>
    <mergeCell ref="E21:I21"/>
    <mergeCell ref="E23:H23"/>
    <mergeCell ref="E24:I24"/>
    <mergeCell ref="A26:C26"/>
  </mergeCells>
  <pageMargins left="0.59055118110236227" right="0.47244094488188981" top="0.98425196850393704" bottom="0.6692913385826772" header="0.51181102362204722" footer="0.27559055118110237"/>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1"/>
  <sheetViews>
    <sheetView tabSelected="1" view="pageBreakPreview" zoomScale="70" zoomScaleSheetLayoutView="70" workbookViewId="0">
      <selection activeCell="B9" sqref="B9"/>
    </sheetView>
  </sheetViews>
  <sheetFormatPr defaultColWidth="9.109375" defaultRowHeight="13.2" x14ac:dyDescent="0.25"/>
  <cols>
    <col min="1" max="1" width="14.109375" style="117" bestFit="1" customWidth="1"/>
    <col min="2" max="2" width="16" style="117" customWidth="1"/>
    <col min="3" max="3" width="18.88671875" style="113" customWidth="1"/>
    <col min="4" max="4" width="149.88671875" style="113" bestFit="1" customWidth="1"/>
    <col min="5" max="5" width="17.44140625" style="117" customWidth="1"/>
    <col min="6" max="6" width="12.88671875" style="113" hidden="1" customWidth="1"/>
    <col min="7" max="7" width="12" style="113" hidden="1" customWidth="1"/>
    <col min="8" max="8" width="1.44140625" style="113" hidden="1" customWidth="1"/>
    <col min="9" max="9" width="18.5546875" style="113" customWidth="1"/>
    <col min="10" max="10" width="17.33203125" style="113" customWidth="1"/>
    <col min="11" max="16384" width="9.109375" style="1"/>
  </cols>
  <sheetData>
    <row r="1" spans="1:10" x14ac:dyDescent="0.25">
      <c r="A1" s="159" t="s">
        <v>368</v>
      </c>
      <c r="B1" s="159"/>
      <c r="C1" s="159"/>
      <c r="D1" s="159"/>
      <c r="E1" s="159"/>
      <c r="F1" s="159"/>
      <c r="G1" s="159"/>
      <c r="H1" s="159"/>
      <c r="I1" s="159"/>
      <c r="J1" s="159"/>
    </row>
    <row r="2" spans="1:10" ht="37.5" customHeight="1" x14ac:dyDescent="0.25">
      <c r="A2" s="160"/>
      <c r="B2" s="160"/>
      <c r="C2" s="160"/>
      <c r="D2" s="160"/>
      <c r="E2" s="160"/>
      <c r="F2" s="160"/>
      <c r="G2" s="160"/>
      <c r="H2" s="160"/>
      <c r="I2" s="160"/>
      <c r="J2" s="160"/>
    </row>
    <row r="3" spans="1:10" x14ac:dyDescent="0.25">
      <c r="A3" s="161" t="s">
        <v>367</v>
      </c>
      <c r="B3" s="161" t="s">
        <v>415</v>
      </c>
      <c r="C3" s="161"/>
      <c r="D3" s="161"/>
      <c r="E3" s="161"/>
      <c r="F3" s="161"/>
      <c r="G3" s="161"/>
      <c r="H3" s="161"/>
      <c r="I3" s="161"/>
      <c r="J3" s="161"/>
    </row>
    <row r="4" spans="1:10" x14ac:dyDescent="0.25">
      <c r="A4" s="161"/>
      <c r="B4" s="161"/>
      <c r="C4" s="161"/>
      <c r="D4" s="161"/>
      <c r="E4" s="161"/>
      <c r="F4" s="161"/>
      <c r="G4" s="161"/>
      <c r="H4" s="161"/>
      <c r="I4" s="161"/>
      <c r="J4" s="161"/>
    </row>
    <row r="5" spans="1:10" ht="25.5" customHeight="1" x14ac:dyDescent="0.25">
      <c r="A5" s="161"/>
      <c r="B5" s="161"/>
      <c r="C5" s="161"/>
      <c r="D5" s="161"/>
      <c r="E5" s="161"/>
      <c r="F5" s="161"/>
      <c r="G5" s="161"/>
      <c r="H5" s="161"/>
      <c r="I5" s="161"/>
      <c r="J5" s="161"/>
    </row>
    <row r="6" spans="1:10" ht="3" customHeight="1" x14ac:dyDescent="0.25">
      <c r="A6" s="161"/>
      <c r="B6" s="161"/>
      <c r="C6" s="161"/>
      <c r="D6" s="161"/>
      <c r="E6" s="161"/>
      <c r="F6" s="161"/>
      <c r="G6" s="161"/>
      <c r="H6" s="161"/>
      <c r="I6" s="161"/>
      <c r="J6" s="161"/>
    </row>
    <row r="7" spans="1:10" ht="45.6" x14ac:dyDescent="0.25">
      <c r="A7" s="120" t="s">
        <v>362</v>
      </c>
      <c r="B7" s="120" t="s">
        <v>366</v>
      </c>
      <c r="C7" s="120" t="s">
        <v>364</v>
      </c>
      <c r="D7" s="120" t="s">
        <v>363</v>
      </c>
      <c r="E7" s="120" t="s">
        <v>378</v>
      </c>
      <c r="F7" s="120"/>
      <c r="G7" s="120"/>
      <c r="H7" s="120"/>
      <c r="I7" s="120" t="s">
        <v>373</v>
      </c>
      <c r="J7" s="120" t="s">
        <v>365</v>
      </c>
    </row>
    <row r="8" spans="1:10" ht="219.6" x14ac:dyDescent="0.25">
      <c r="A8" s="177">
        <v>1</v>
      </c>
      <c r="B8" s="146">
        <v>52</v>
      </c>
      <c r="C8" s="111" t="s">
        <v>421</v>
      </c>
      <c r="D8" s="112" t="s">
        <v>484</v>
      </c>
      <c r="E8" s="131" t="s">
        <v>34</v>
      </c>
      <c r="F8" s="120"/>
      <c r="G8" s="120"/>
      <c r="H8" s="120"/>
      <c r="I8" s="178">
        <f>'RA '!H5</f>
        <v>1243.5625</v>
      </c>
      <c r="J8" s="122">
        <f>I8*B8</f>
        <v>64665.25</v>
      </c>
    </row>
    <row r="9" spans="1:10" ht="45.6" x14ac:dyDescent="0.25">
      <c r="A9" s="177">
        <v>2</v>
      </c>
      <c r="B9" s="146">
        <v>8</v>
      </c>
      <c r="C9" s="111" t="s">
        <v>424</v>
      </c>
      <c r="D9" s="112" t="s">
        <v>425</v>
      </c>
      <c r="E9" s="131"/>
      <c r="F9" s="120"/>
      <c r="G9" s="120"/>
      <c r="H9" s="120"/>
      <c r="I9" s="178">
        <f>'RA '!H6</f>
        <v>21.462500000000002</v>
      </c>
      <c r="J9" s="122">
        <f t="shared" ref="J9:J35" si="0">I9*B9</f>
        <v>171.70000000000002</v>
      </c>
    </row>
    <row r="10" spans="1:10" ht="45.6" x14ac:dyDescent="0.25">
      <c r="A10" s="177">
        <v>3</v>
      </c>
      <c r="B10" s="146">
        <v>8</v>
      </c>
      <c r="C10" s="111" t="s">
        <v>426</v>
      </c>
      <c r="D10" s="112" t="s">
        <v>427</v>
      </c>
      <c r="E10" s="131"/>
      <c r="F10" s="120"/>
      <c r="G10" s="120"/>
      <c r="H10" s="120"/>
      <c r="I10" s="178">
        <f>'RA '!H7</f>
        <v>308.05</v>
      </c>
      <c r="J10" s="122">
        <f t="shared" si="0"/>
        <v>2464.4</v>
      </c>
    </row>
    <row r="11" spans="1:10" ht="45.6" x14ac:dyDescent="0.25">
      <c r="A11" s="177">
        <v>4</v>
      </c>
      <c r="B11" s="146">
        <v>10</v>
      </c>
      <c r="C11" s="111" t="s">
        <v>428</v>
      </c>
      <c r="D11" s="112" t="s">
        <v>429</v>
      </c>
      <c r="E11" s="131"/>
      <c r="F11" s="120"/>
      <c r="G11" s="120"/>
      <c r="H11" s="120"/>
      <c r="I11" s="178">
        <f>'RA '!H8</f>
        <v>267.64999999999998</v>
      </c>
      <c r="J11" s="122">
        <f t="shared" si="0"/>
        <v>2676.5</v>
      </c>
    </row>
    <row r="12" spans="1:10" ht="57.75" customHeight="1" x14ac:dyDescent="0.25">
      <c r="A12" s="177" t="s">
        <v>465</v>
      </c>
      <c r="B12" s="146">
        <v>20</v>
      </c>
      <c r="C12" s="111" t="s">
        <v>411</v>
      </c>
      <c r="D12" s="112" t="s">
        <v>413</v>
      </c>
      <c r="E12" s="131" t="s">
        <v>34</v>
      </c>
      <c r="F12" s="120"/>
      <c r="G12" s="120"/>
      <c r="H12" s="120"/>
      <c r="I12" s="178">
        <f>'RA '!H9</f>
        <v>27.774999999999999</v>
      </c>
      <c r="J12" s="122">
        <f t="shared" si="0"/>
        <v>555.5</v>
      </c>
    </row>
    <row r="13" spans="1:10" ht="54" customHeight="1" x14ac:dyDescent="0.25">
      <c r="A13" s="177" t="s">
        <v>467</v>
      </c>
      <c r="B13" s="146">
        <v>4</v>
      </c>
      <c r="C13" s="111" t="s">
        <v>414</v>
      </c>
      <c r="D13" s="112" t="s">
        <v>420</v>
      </c>
      <c r="E13" s="131" t="s">
        <v>34</v>
      </c>
      <c r="F13" s="120"/>
      <c r="G13" s="120"/>
      <c r="H13" s="120"/>
      <c r="I13" s="178"/>
      <c r="J13" s="122">
        <f t="shared" si="0"/>
        <v>0</v>
      </c>
    </row>
    <row r="14" spans="1:10" ht="42.75" customHeight="1" x14ac:dyDescent="0.25">
      <c r="A14" s="177" t="s">
        <v>468</v>
      </c>
      <c r="B14" s="146">
        <v>2</v>
      </c>
      <c r="C14" s="111"/>
      <c r="D14" s="112" t="s">
        <v>417</v>
      </c>
      <c r="E14" s="131" t="s">
        <v>34</v>
      </c>
      <c r="F14" s="120"/>
      <c r="G14" s="120"/>
      <c r="H14" s="120"/>
      <c r="I14" s="178">
        <f>'RA '!H10</f>
        <v>34.087499999999999</v>
      </c>
      <c r="J14" s="122">
        <f t="shared" si="0"/>
        <v>68.174999999999997</v>
      </c>
    </row>
    <row r="15" spans="1:10" ht="42.75" customHeight="1" x14ac:dyDescent="0.25">
      <c r="A15" s="177" t="s">
        <v>469</v>
      </c>
      <c r="B15" s="146">
        <v>2</v>
      </c>
      <c r="C15" s="111"/>
      <c r="D15" s="112" t="s">
        <v>430</v>
      </c>
      <c r="E15" s="131"/>
      <c r="F15" s="120"/>
      <c r="G15" s="120"/>
      <c r="H15" s="120"/>
      <c r="I15" s="178">
        <f>'RA '!H11</f>
        <v>97.212499999999991</v>
      </c>
      <c r="J15" s="122">
        <f t="shared" si="0"/>
        <v>194.42499999999998</v>
      </c>
    </row>
    <row r="16" spans="1:10" ht="42.75" customHeight="1" x14ac:dyDescent="0.25">
      <c r="A16" s="177" t="s">
        <v>466</v>
      </c>
      <c r="B16" s="146">
        <v>2</v>
      </c>
      <c r="C16" s="111"/>
      <c r="D16" s="112" t="s">
        <v>431</v>
      </c>
      <c r="E16" s="131"/>
      <c r="F16" s="120"/>
      <c r="G16" s="120"/>
      <c r="H16" s="120"/>
      <c r="I16" s="178">
        <f>'RA '!H12</f>
        <v>171.70000000000002</v>
      </c>
      <c r="J16" s="122">
        <f t="shared" si="0"/>
        <v>343.40000000000003</v>
      </c>
    </row>
    <row r="17" spans="1:10" ht="42.75" customHeight="1" x14ac:dyDescent="0.25">
      <c r="A17" s="177" t="s">
        <v>470</v>
      </c>
      <c r="B17" s="146">
        <v>2</v>
      </c>
      <c r="C17" s="111" t="s">
        <v>136</v>
      </c>
      <c r="D17" s="112" t="s">
        <v>432</v>
      </c>
      <c r="E17" s="131"/>
      <c r="F17" s="120"/>
      <c r="G17" s="120"/>
      <c r="H17" s="120"/>
      <c r="I17" s="178">
        <f>'RA '!H13</f>
        <v>321.9375</v>
      </c>
      <c r="J17" s="122">
        <f t="shared" si="0"/>
        <v>643.875</v>
      </c>
    </row>
    <row r="18" spans="1:10" ht="90.75" customHeight="1" x14ac:dyDescent="0.25">
      <c r="A18" s="177" t="s">
        <v>471</v>
      </c>
      <c r="B18" s="146">
        <v>7</v>
      </c>
      <c r="C18" s="111" t="s">
        <v>433</v>
      </c>
      <c r="D18" s="112" t="s">
        <v>434</v>
      </c>
      <c r="E18" s="131"/>
      <c r="F18" s="120"/>
      <c r="G18" s="120"/>
      <c r="H18" s="120"/>
      <c r="I18" s="178">
        <f>'RA '!H14</f>
        <v>802.95</v>
      </c>
      <c r="J18" s="122">
        <f t="shared" si="0"/>
        <v>5620.6500000000005</v>
      </c>
    </row>
    <row r="19" spans="1:10" ht="43.5" customHeight="1" x14ac:dyDescent="0.25">
      <c r="A19" s="177" t="s">
        <v>472</v>
      </c>
      <c r="B19" s="146">
        <v>550</v>
      </c>
      <c r="C19" s="111" t="s">
        <v>157</v>
      </c>
      <c r="D19" s="112" t="s">
        <v>450</v>
      </c>
      <c r="E19" s="131"/>
      <c r="F19" s="120"/>
      <c r="G19" s="120"/>
      <c r="H19" s="120"/>
      <c r="I19" s="178">
        <f>'RA '!H15</f>
        <v>3.7874999999999996</v>
      </c>
      <c r="J19" s="122">
        <f t="shared" si="0"/>
        <v>2083.125</v>
      </c>
    </row>
    <row r="20" spans="1:10" ht="42.75" customHeight="1" x14ac:dyDescent="0.25">
      <c r="A20" s="177" t="s">
        <v>473</v>
      </c>
      <c r="B20" s="146">
        <v>185</v>
      </c>
      <c r="C20" s="111"/>
      <c r="D20" s="112" t="s">
        <v>451</v>
      </c>
      <c r="E20" s="131"/>
      <c r="F20" s="120"/>
      <c r="G20" s="120"/>
      <c r="H20" s="120"/>
      <c r="I20" s="178">
        <f>'RA '!H16</f>
        <v>5.05</v>
      </c>
      <c r="J20" s="122">
        <f t="shared" si="0"/>
        <v>934.25</v>
      </c>
    </row>
    <row r="21" spans="1:10" ht="42.75" customHeight="1" x14ac:dyDescent="0.25">
      <c r="A21" s="177" t="s">
        <v>474</v>
      </c>
      <c r="B21" s="146">
        <v>165</v>
      </c>
      <c r="C21" s="111"/>
      <c r="D21" s="112" t="s">
        <v>452</v>
      </c>
      <c r="E21" s="131"/>
      <c r="F21" s="120"/>
      <c r="G21" s="120"/>
      <c r="H21" s="120"/>
      <c r="I21" s="178">
        <f>'RA '!H17</f>
        <v>13.887499999999999</v>
      </c>
      <c r="J21" s="122">
        <f t="shared" si="0"/>
        <v>2291.4375</v>
      </c>
    </row>
    <row r="22" spans="1:10" ht="42.75" customHeight="1" x14ac:dyDescent="0.25">
      <c r="A22" s="177" t="s">
        <v>475</v>
      </c>
      <c r="B22" s="146">
        <v>185</v>
      </c>
      <c r="C22" s="111"/>
      <c r="D22" s="112" t="s">
        <v>453</v>
      </c>
      <c r="E22" s="131"/>
      <c r="F22" s="120"/>
      <c r="G22" s="120"/>
      <c r="H22" s="120"/>
      <c r="I22" s="178">
        <f>'RA '!H18</f>
        <v>17.675000000000001</v>
      </c>
      <c r="J22" s="122">
        <f t="shared" si="0"/>
        <v>3269.875</v>
      </c>
    </row>
    <row r="23" spans="1:10" ht="42.75" customHeight="1" x14ac:dyDescent="0.25">
      <c r="A23" s="177"/>
      <c r="B23" s="146"/>
      <c r="C23" s="111" t="s">
        <v>423</v>
      </c>
      <c r="D23" s="112" t="s">
        <v>454</v>
      </c>
      <c r="E23" s="131"/>
      <c r="F23" s="120"/>
      <c r="G23" s="120"/>
      <c r="H23" s="120"/>
      <c r="I23" s="178"/>
      <c r="J23" s="122">
        <f t="shared" si="0"/>
        <v>0</v>
      </c>
    </row>
    <row r="24" spans="1:10" ht="42.75" customHeight="1" x14ac:dyDescent="0.25">
      <c r="A24" s="177" t="s">
        <v>476</v>
      </c>
      <c r="B24" s="146">
        <v>140</v>
      </c>
      <c r="C24" s="111"/>
      <c r="D24" s="112" t="s">
        <v>455</v>
      </c>
      <c r="E24" s="131"/>
      <c r="F24" s="120"/>
      <c r="G24" s="120"/>
      <c r="H24" s="120"/>
      <c r="I24" s="178">
        <f>'RA '!H18</f>
        <v>17.675000000000001</v>
      </c>
      <c r="J24" s="122">
        <f t="shared" si="0"/>
        <v>2474.5</v>
      </c>
    </row>
    <row r="25" spans="1:10" ht="42.75" customHeight="1" x14ac:dyDescent="0.25">
      <c r="A25" s="177" t="s">
        <v>477</v>
      </c>
      <c r="B25" s="146">
        <v>140</v>
      </c>
      <c r="C25" s="111"/>
      <c r="D25" s="112" t="s">
        <v>456</v>
      </c>
      <c r="E25" s="131"/>
      <c r="F25" s="120"/>
      <c r="G25" s="120"/>
      <c r="H25" s="120"/>
      <c r="I25" s="178">
        <f>'RA '!H19</f>
        <v>32.825000000000003</v>
      </c>
      <c r="J25" s="122">
        <f t="shared" si="0"/>
        <v>4595.5</v>
      </c>
    </row>
    <row r="26" spans="1:10" ht="76.5" customHeight="1" x14ac:dyDescent="0.25">
      <c r="A26" s="177"/>
      <c r="B26" s="146"/>
      <c r="C26" s="111" t="s">
        <v>180</v>
      </c>
      <c r="D26" s="112" t="s">
        <v>142</v>
      </c>
      <c r="E26" s="131"/>
      <c r="F26" s="120"/>
      <c r="G26" s="120"/>
      <c r="H26" s="120"/>
      <c r="I26" s="178"/>
      <c r="J26" s="122">
        <f t="shared" si="0"/>
        <v>0</v>
      </c>
    </row>
    <row r="27" spans="1:10" ht="76.5" customHeight="1" x14ac:dyDescent="0.25">
      <c r="A27" s="177" t="s">
        <v>478</v>
      </c>
      <c r="B27" s="146">
        <v>2</v>
      </c>
      <c r="C27" s="111"/>
      <c r="D27" s="112" t="s">
        <v>457</v>
      </c>
      <c r="E27" s="131"/>
      <c r="F27" s="120"/>
      <c r="G27" s="120"/>
      <c r="H27" s="120"/>
      <c r="I27" s="178">
        <f>'RA '!H20</f>
        <v>171.70000000000002</v>
      </c>
      <c r="J27" s="122">
        <f t="shared" si="0"/>
        <v>343.40000000000003</v>
      </c>
    </row>
    <row r="28" spans="1:10" ht="42.75" customHeight="1" x14ac:dyDescent="0.25">
      <c r="A28" s="177" t="s">
        <v>479</v>
      </c>
      <c r="B28" s="146">
        <v>1</v>
      </c>
      <c r="C28" s="111"/>
      <c r="D28" s="112" t="s">
        <v>435</v>
      </c>
      <c r="E28" s="131"/>
      <c r="F28" s="120"/>
      <c r="G28" s="120"/>
      <c r="H28" s="120"/>
      <c r="I28" s="178">
        <f>'RA '!H21</f>
        <v>204.52500000000001</v>
      </c>
      <c r="J28" s="122">
        <f t="shared" si="0"/>
        <v>204.52500000000001</v>
      </c>
    </row>
    <row r="29" spans="1:10" ht="42.75" customHeight="1" x14ac:dyDescent="0.25">
      <c r="A29" s="177"/>
      <c r="B29" s="146"/>
      <c r="C29" s="111" t="s">
        <v>186</v>
      </c>
      <c r="D29" s="112" t="s">
        <v>436</v>
      </c>
      <c r="E29" s="131"/>
      <c r="F29" s="120"/>
      <c r="G29" s="120"/>
      <c r="H29" s="120"/>
      <c r="I29" s="178"/>
      <c r="J29" s="122">
        <f t="shared" si="0"/>
        <v>0</v>
      </c>
    </row>
    <row r="30" spans="1:10" ht="42.75" customHeight="1" x14ac:dyDescent="0.25">
      <c r="A30" s="177" t="s">
        <v>480</v>
      </c>
      <c r="B30" s="146">
        <v>1</v>
      </c>
      <c r="C30" s="111"/>
      <c r="D30" s="112" t="s">
        <v>437</v>
      </c>
      <c r="E30" s="131"/>
      <c r="F30" s="120"/>
      <c r="G30" s="120"/>
      <c r="H30" s="120"/>
      <c r="I30" s="178">
        <f>'RA '!H22</f>
        <v>427.98749999999995</v>
      </c>
      <c r="J30" s="122">
        <f t="shared" si="0"/>
        <v>427.98749999999995</v>
      </c>
    </row>
    <row r="31" spans="1:10" ht="144.75" customHeight="1" x14ac:dyDescent="0.25">
      <c r="A31" s="177" t="s">
        <v>481</v>
      </c>
      <c r="B31" s="146">
        <v>1</v>
      </c>
      <c r="C31" s="111" t="s">
        <v>438</v>
      </c>
      <c r="D31" s="112" t="s">
        <v>439</v>
      </c>
      <c r="E31" s="131"/>
      <c r="F31" s="120"/>
      <c r="G31" s="120"/>
      <c r="H31" s="120"/>
      <c r="I31" s="178">
        <f>'RA '!H23</f>
        <v>8559.75</v>
      </c>
      <c r="J31" s="122">
        <f t="shared" si="0"/>
        <v>8559.75</v>
      </c>
    </row>
    <row r="32" spans="1:10" ht="68.400000000000006" x14ac:dyDescent="0.25">
      <c r="A32" s="177"/>
      <c r="B32" s="146"/>
      <c r="C32" s="111"/>
      <c r="D32" s="112" t="s">
        <v>174</v>
      </c>
      <c r="E32" s="131"/>
      <c r="F32" s="120"/>
      <c r="G32" s="120"/>
      <c r="H32" s="120"/>
      <c r="I32" s="178"/>
      <c r="J32" s="122">
        <f t="shared" si="0"/>
        <v>0</v>
      </c>
    </row>
    <row r="33" spans="1:14" ht="76.5" customHeight="1" x14ac:dyDescent="0.25">
      <c r="A33" s="177" t="s">
        <v>482</v>
      </c>
      <c r="B33" s="146">
        <v>6</v>
      </c>
      <c r="C33" s="111" t="s">
        <v>461</v>
      </c>
      <c r="D33" s="112" t="s">
        <v>462</v>
      </c>
      <c r="E33" s="131"/>
      <c r="F33" s="120"/>
      <c r="G33" s="120"/>
      <c r="H33" s="120"/>
      <c r="I33" s="178">
        <f>'RA '!H24</f>
        <v>2461.875</v>
      </c>
      <c r="J33" s="122">
        <f t="shared" si="0"/>
        <v>14771.25</v>
      </c>
    </row>
    <row r="34" spans="1:14" ht="42.75" customHeight="1" x14ac:dyDescent="0.25">
      <c r="A34" s="177" t="s">
        <v>483</v>
      </c>
      <c r="B34" s="146">
        <v>1</v>
      </c>
      <c r="C34" s="111" t="s">
        <v>227</v>
      </c>
      <c r="D34" s="112" t="s">
        <v>440</v>
      </c>
      <c r="E34" s="131"/>
      <c r="F34" s="120"/>
      <c r="G34" s="120"/>
      <c r="H34" s="120"/>
      <c r="I34" s="178">
        <f>'RA '!H25</f>
        <v>25679.25</v>
      </c>
      <c r="J34" s="122">
        <f t="shared" si="0"/>
        <v>25679.25</v>
      </c>
    </row>
    <row r="35" spans="1:14" ht="42.75" customHeight="1" x14ac:dyDescent="0.25">
      <c r="A35" s="177"/>
      <c r="B35" s="146"/>
      <c r="C35" s="111"/>
      <c r="D35" s="112" t="s">
        <v>234</v>
      </c>
      <c r="E35" s="131"/>
      <c r="F35" s="120"/>
      <c r="G35" s="120"/>
      <c r="H35" s="120"/>
      <c r="I35" s="178"/>
      <c r="J35" s="122">
        <f t="shared" si="0"/>
        <v>0</v>
      </c>
    </row>
    <row r="36" spans="1:14" ht="21" x14ac:dyDescent="0.4">
      <c r="D36" s="121"/>
      <c r="E36" s="121"/>
      <c r="F36" s="121"/>
      <c r="G36" s="121"/>
      <c r="H36" s="121"/>
      <c r="I36" s="121"/>
      <c r="J36" s="98"/>
    </row>
    <row r="37" spans="1:14" ht="18.75" customHeight="1" x14ac:dyDescent="0.4">
      <c r="D37" s="163" t="s">
        <v>369</v>
      </c>
      <c r="E37" s="163"/>
      <c r="F37" s="163"/>
      <c r="G37" s="163"/>
      <c r="H37" s="163"/>
      <c r="I37" s="163"/>
      <c r="J37" s="129">
        <f>SUM(J8:J35)</f>
        <v>143038.72499999998</v>
      </c>
    </row>
    <row r="38" spans="1:14" ht="20.25" customHeight="1" x14ac:dyDescent="0.4">
      <c r="D38" s="163" t="s">
        <v>383</v>
      </c>
      <c r="E38" s="163"/>
      <c r="F38" s="163"/>
      <c r="G38" s="163"/>
      <c r="H38" s="163"/>
      <c r="I38" s="163"/>
      <c r="J38" s="129">
        <f>J37*18%</f>
        <v>25746.970499999996</v>
      </c>
    </row>
    <row r="39" spans="1:14" ht="20.25" customHeight="1" x14ac:dyDescent="0.4">
      <c r="D39" s="163" t="s">
        <v>370</v>
      </c>
      <c r="E39" s="163"/>
      <c r="F39" s="163"/>
      <c r="G39" s="163"/>
      <c r="H39" s="163"/>
      <c r="I39" s="163"/>
      <c r="J39" s="98">
        <f>J37+J38</f>
        <v>168785.69549999997</v>
      </c>
    </row>
    <row r="40" spans="1:14" ht="20.25" customHeight="1" x14ac:dyDescent="0.4">
      <c r="D40" s="121"/>
      <c r="E40" s="121"/>
      <c r="F40" s="121"/>
      <c r="G40" s="121"/>
      <c r="H40" s="121"/>
      <c r="I40" s="121"/>
      <c r="J40" s="98"/>
    </row>
    <row r="41" spans="1:14" ht="20.25" customHeight="1" x14ac:dyDescent="0.4">
      <c r="D41" s="121"/>
      <c r="E41" s="121"/>
      <c r="F41" s="121"/>
      <c r="G41" s="121"/>
      <c r="H41" s="121"/>
      <c r="I41" s="121"/>
      <c r="J41" s="98"/>
    </row>
    <row r="42" spans="1:14" ht="20.25" customHeight="1" x14ac:dyDescent="0.4">
      <c r="D42" s="121"/>
      <c r="E42" s="121"/>
      <c r="F42" s="121"/>
      <c r="G42" s="121"/>
      <c r="H42" s="121"/>
      <c r="I42" s="121"/>
      <c r="J42" s="98"/>
    </row>
    <row r="43" spans="1:14" ht="20.25" customHeight="1" x14ac:dyDescent="0.4">
      <c r="D43" s="121"/>
      <c r="E43" s="121"/>
      <c r="F43" s="121"/>
      <c r="G43" s="121"/>
      <c r="H43" s="121"/>
      <c r="I43" s="121"/>
      <c r="J43" s="98"/>
    </row>
    <row r="44" spans="1:14" ht="20.25" customHeight="1" x14ac:dyDescent="0.4">
      <c r="D44" s="121"/>
      <c r="E44" s="121"/>
      <c r="F44" s="121"/>
      <c r="G44" s="121"/>
      <c r="H44" s="121"/>
      <c r="I44" s="121"/>
      <c r="J44" s="98"/>
    </row>
    <row r="45" spans="1:14" ht="21" x14ac:dyDescent="0.25">
      <c r="A45" s="119"/>
      <c r="B45" s="119"/>
      <c r="C45" s="114"/>
      <c r="D45" s="114"/>
      <c r="E45" s="118"/>
      <c r="F45" s="115"/>
      <c r="G45" s="115"/>
      <c r="H45" s="115"/>
      <c r="I45" s="115"/>
      <c r="J45" s="116"/>
    </row>
    <row r="46" spans="1:14" ht="20.25" customHeight="1" x14ac:dyDescent="0.3">
      <c r="A46" s="164" t="s">
        <v>372</v>
      </c>
      <c r="B46" s="164"/>
      <c r="C46" s="164"/>
      <c r="D46" s="118" t="s">
        <v>409</v>
      </c>
      <c r="E46" s="118"/>
      <c r="F46" s="115"/>
      <c r="G46" s="115"/>
      <c r="H46" s="114"/>
      <c r="I46" s="118" t="s">
        <v>385</v>
      </c>
      <c r="J46" s="115"/>
      <c r="K46" s="97"/>
      <c r="L46" s="97"/>
      <c r="M46" s="97"/>
      <c r="N46" s="97"/>
    </row>
    <row r="47" spans="1:14" ht="22.5" customHeight="1" x14ac:dyDescent="0.3">
      <c r="A47" s="164" t="s">
        <v>407</v>
      </c>
      <c r="B47" s="164"/>
      <c r="C47" s="164"/>
      <c r="D47" s="118" t="s">
        <v>407</v>
      </c>
      <c r="E47" s="118"/>
      <c r="F47" s="115"/>
      <c r="G47" s="115"/>
      <c r="H47" s="114"/>
      <c r="I47" s="118" t="s">
        <v>384</v>
      </c>
      <c r="J47" s="115"/>
      <c r="K47" s="97"/>
      <c r="L47" s="97"/>
      <c r="M47" s="97"/>
      <c r="N47" s="97"/>
    </row>
    <row r="48" spans="1:14" ht="24.75" customHeight="1" x14ac:dyDescent="0.3">
      <c r="A48" s="164" t="s">
        <v>381</v>
      </c>
      <c r="B48" s="164"/>
      <c r="C48" s="164"/>
      <c r="D48" s="118" t="s">
        <v>381</v>
      </c>
      <c r="E48" s="118"/>
      <c r="F48" s="115"/>
      <c r="G48" s="115"/>
      <c r="H48" s="114"/>
      <c r="I48" s="118" t="s">
        <v>381</v>
      </c>
      <c r="J48" s="115"/>
      <c r="K48" s="97"/>
      <c r="L48" s="97"/>
      <c r="M48" s="97"/>
      <c r="N48" s="97"/>
    </row>
    <row r="50" spans="1:10" ht="15" customHeight="1" x14ac:dyDescent="0.25">
      <c r="A50" s="162"/>
      <c r="B50" s="162"/>
      <c r="C50" s="162"/>
      <c r="E50" s="162"/>
      <c r="F50" s="162"/>
      <c r="G50" s="162"/>
      <c r="H50" s="162"/>
      <c r="I50" s="162"/>
      <c r="J50" s="162"/>
    </row>
    <row r="51" spans="1:10" ht="15" customHeight="1" x14ac:dyDescent="0.25">
      <c r="A51" s="162"/>
      <c r="B51" s="162"/>
      <c r="C51" s="162"/>
      <c r="E51" s="162"/>
      <c r="F51" s="162"/>
      <c r="G51" s="162"/>
      <c r="H51" s="162"/>
      <c r="I51" s="162"/>
      <c r="J51" s="162"/>
    </row>
  </sheetData>
  <mergeCells count="13">
    <mergeCell ref="A1:J2"/>
    <mergeCell ref="B3:J6"/>
    <mergeCell ref="A3:A6"/>
    <mergeCell ref="E50:J50"/>
    <mergeCell ref="E51:J51"/>
    <mergeCell ref="D37:I37"/>
    <mergeCell ref="D38:I38"/>
    <mergeCell ref="D39:I39"/>
    <mergeCell ref="A46:C46"/>
    <mergeCell ref="A47:C47"/>
    <mergeCell ref="A48:C48"/>
    <mergeCell ref="A50:C50"/>
    <mergeCell ref="A51:C51"/>
  </mergeCells>
  <printOptions horizontalCentered="1" verticalCentered="1"/>
  <pageMargins left="0" right="0" top="0" bottom="0" header="0" footer="0"/>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1"/>
  <sheetViews>
    <sheetView view="pageBreakPreview" topLeftCell="A7" zoomScale="85" zoomScaleNormal="100" zoomScaleSheetLayoutView="85" workbookViewId="0">
      <selection activeCell="H5" sqref="H5:H25"/>
    </sheetView>
  </sheetViews>
  <sheetFormatPr defaultColWidth="9.109375" defaultRowHeight="13.2" x14ac:dyDescent="0.25"/>
  <cols>
    <col min="1" max="1" width="9.44140625" style="96" customWidth="1"/>
    <col min="2" max="2" width="15.33203125" style="96" customWidth="1"/>
    <col min="3" max="3" width="41.5546875" style="96" customWidth="1"/>
    <col min="4" max="4" width="13.33203125" style="96" customWidth="1"/>
    <col min="5" max="5" width="12.33203125" style="96" customWidth="1"/>
    <col min="6" max="7" width="13.44140625" style="96" customWidth="1"/>
    <col min="8" max="8" width="14.33203125" style="96" customWidth="1"/>
    <col min="9" max="9" width="3.5546875" style="1" customWidth="1"/>
    <col min="10" max="16384" width="9.109375" style="1"/>
  </cols>
  <sheetData>
    <row r="1" spans="1:8" ht="28.5" customHeight="1" x14ac:dyDescent="0.25">
      <c r="A1" s="166" t="s">
        <v>374</v>
      </c>
      <c r="B1" s="166"/>
      <c r="C1" s="166"/>
      <c r="D1" s="166"/>
      <c r="E1" s="166"/>
      <c r="F1" s="166"/>
      <c r="G1" s="166"/>
      <c r="H1" s="166"/>
    </row>
    <row r="2" spans="1:8" ht="28.5" customHeight="1" x14ac:dyDescent="0.25">
      <c r="A2" s="123"/>
      <c r="B2" s="123"/>
      <c r="C2" s="123"/>
      <c r="D2" s="123"/>
      <c r="E2" s="123"/>
      <c r="F2" s="123"/>
      <c r="G2" s="123"/>
      <c r="H2" s="123"/>
    </row>
    <row r="3" spans="1:8" ht="45" customHeight="1" thickBot="1" x14ac:dyDescent="0.3">
      <c r="A3" s="167" t="s">
        <v>375</v>
      </c>
      <c r="B3" s="167"/>
      <c r="C3" s="165" t="s">
        <v>415</v>
      </c>
      <c r="D3" s="165"/>
      <c r="E3" s="165"/>
      <c r="F3" s="165"/>
      <c r="G3" s="165"/>
      <c r="H3" s="165"/>
    </row>
    <row r="4" spans="1:8" ht="50.25" customHeight="1" x14ac:dyDescent="0.25">
      <c r="A4" s="133" t="s">
        <v>376</v>
      </c>
      <c r="B4" s="134" t="s">
        <v>364</v>
      </c>
      <c r="C4" s="135" t="s">
        <v>377</v>
      </c>
      <c r="D4" s="135" t="s">
        <v>410</v>
      </c>
      <c r="E4" s="135" t="s">
        <v>404</v>
      </c>
      <c r="F4" s="135" t="s">
        <v>404</v>
      </c>
      <c r="G4" s="135" t="s">
        <v>405</v>
      </c>
      <c r="H4" s="136" t="s">
        <v>406</v>
      </c>
    </row>
    <row r="5" spans="1:8" s="132" customFormat="1" ht="25.5" customHeight="1" x14ac:dyDescent="0.3">
      <c r="A5" s="137" t="s">
        <v>379</v>
      </c>
      <c r="B5" s="130" t="s">
        <v>421</v>
      </c>
      <c r="C5" s="138" t="s">
        <v>422</v>
      </c>
      <c r="D5" s="139">
        <v>985</v>
      </c>
      <c r="E5" s="140">
        <f t="shared" ref="E5:E25" si="0">D5*1%</f>
        <v>9.85</v>
      </c>
      <c r="F5" s="140">
        <f t="shared" ref="F5:F25" si="1">D5+E5</f>
        <v>994.85</v>
      </c>
      <c r="G5" s="140">
        <f t="shared" ref="G5:G25" si="2">F5*25%</f>
        <v>248.71250000000001</v>
      </c>
      <c r="H5" s="140">
        <f t="shared" ref="H5:H25" si="3">F5+G5</f>
        <v>1243.5625</v>
      </c>
    </row>
    <row r="6" spans="1:8" ht="24.9" customHeight="1" x14ac:dyDescent="0.25">
      <c r="A6" s="141" t="s">
        <v>379</v>
      </c>
      <c r="B6" s="127" t="s">
        <v>411</v>
      </c>
      <c r="C6" s="125" t="s">
        <v>441</v>
      </c>
      <c r="D6" s="124">
        <v>17</v>
      </c>
      <c r="E6" s="140">
        <f t="shared" si="0"/>
        <v>0.17</v>
      </c>
      <c r="F6" s="140">
        <f t="shared" si="1"/>
        <v>17.170000000000002</v>
      </c>
      <c r="G6" s="140">
        <f t="shared" si="2"/>
        <v>4.2925000000000004</v>
      </c>
      <c r="H6" s="140">
        <f t="shared" si="3"/>
        <v>21.462500000000002</v>
      </c>
    </row>
    <row r="7" spans="1:8" ht="24.9" customHeight="1" x14ac:dyDescent="0.25">
      <c r="A7" s="141"/>
      <c r="B7" s="127"/>
      <c r="C7" s="125" t="s">
        <v>442</v>
      </c>
      <c r="D7" s="124">
        <v>244</v>
      </c>
      <c r="E7" s="140">
        <f t="shared" si="0"/>
        <v>2.44</v>
      </c>
      <c r="F7" s="140">
        <f t="shared" si="1"/>
        <v>246.44</v>
      </c>
      <c r="G7" s="140">
        <f t="shared" si="2"/>
        <v>61.61</v>
      </c>
      <c r="H7" s="140">
        <f t="shared" si="3"/>
        <v>308.05</v>
      </c>
    </row>
    <row r="8" spans="1:8" ht="24.9" customHeight="1" x14ac:dyDescent="0.25">
      <c r="A8" s="141"/>
      <c r="B8" s="127"/>
      <c r="C8" s="125" t="s">
        <v>443</v>
      </c>
      <c r="D8" s="124">
        <v>212</v>
      </c>
      <c r="E8" s="140">
        <f t="shared" si="0"/>
        <v>2.12</v>
      </c>
      <c r="F8" s="140">
        <f t="shared" si="1"/>
        <v>214.12</v>
      </c>
      <c r="G8" s="140">
        <f t="shared" si="2"/>
        <v>53.53</v>
      </c>
      <c r="H8" s="140">
        <f t="shared" si="3"/>
        <v>267.64999999999998</v>
      </c>
    </row>
    <row r="9" spans="1:8" ht="24.9" customHeight="1" x14ac:dyDescent="0.25">
      <c r="A9" s="141"/>
      <c r="B9" s="127"/>
      <c r="C9" s="125" t="s">
        <v>444</v>
      </c>
      <c r="D9" s="124">
        <v>22</v>
      </c>
      <c r="E9" s="140">
        <f t="shared" si="0"/>
        <v>0.22</v>
      </c>
      <c r="F9" s="140">
        <f t="shared" si="1"/>
        <v>22.22</v>
      </c>
      <c r="G9" s="140">
        <f t="shared" si="2"/>
        <v>5.5549999999999997</v>
      </c>
      <c r="H9" s="140">
        <f t="shared" si="3"/>
        <v>27.774999999999999</v>
      </c>
    </row>
    <row r="10" spans="1:8" ht="24.9" customHeight="1" x14ac:dyDescent="0.25">
      <c r="A10" s="141"/>
      <c r="B10" s="127"/>
      <c r="C10" s="125" t="s">
        <v>445</v>
      </c>
      <c r="D10" s="124">
        <v>27</v>
      </c>
      <c r="E10" s="140">
        <f t="shared" si="0"/>
        <v>0.27</v>
      </c>
      <c r="F10" s="140">
        <f t="shared" si="1"/>
        <v>27.27</v>
      </c>
      <c r="G10" s="140">
        <f t="shared" si="2"/>
        <v>6.8174999999999999</v>
      </c>
      <c r="H10" s="140">
        <f t="shared" si="3"/>
        <v>34.087499999999999</v>
      </c>
    </row>
    <row r="11" spans="1:8" ht="30" x14ac:dyDescent="0.25">
      <c r="A11" s="141"/>
      <c r="B11" s="127"/>
      <c r="C11" s="125" t="s">
        <v>446</v>
      </c>
      <c r="D11" s="124">
        <v>77</v>
      </c>
      <c r="E11" s="140">
        <f t="shared" si="0"/>
        <v>0.77</v>
      </c>
      <c r="F11" s="140">
        <f t="shared" si="1"/>
        <v>77.77</v>
      </c>
      <c r="G11" s="140">
        <f t="shared" si="2"/>
        <v>19.442499999999999</v>
      </c>
      <c r="H11" s="140">
        <f t="shared" si="3"/>
        <v>97.212499999999991</v>
      </c>
    </row>
    <row r="12" spans="1:8" ht="24.9" customHeight="1" x14ac:dyDescent="0.25">
      <c r="A12" s="141" t="s">
        <v>416</v>
      </c>
      <c r="B12" s="127" t="s">
        <v>412</v>
      </c>
      <c r="C12" s="1" t="s">
        <v>447</v>
      </c>
      <c r="D12" s="124">
        <v>136</v>
      </c>
      <c r="E12" s="140">
        <f t="shared" si="0"/>
        <v>1.36</v>
      </c>
      <c r="F12" s="140">
        <f t="shared" si="1"/>
        <v>137.36000000000001</v>
      </c>
      <c r="G12" s="140">
        <f t="shared" si="2"/>
        <v>34.340000000000003</v>
      </c>
      <c r="H12" s="140">
        <f t="shared" si="3"/>
        <v>171.70000000000002</v>
      </c>
    </row>
    <row r="13" spans="1:8" ht="24.9" customHeight="1" x14ac:dyDescent="0.25">
      <c r="A13" s="141"/>
      <c r="B13" s="127"/>
      <c r="C13" s="130" t="s">
        <v>448</v>
      </c>
      <c r="D13" s="124">
        <v>255</v>
      </c>
      <c r="E13" s="140">
        <f t="shared" si="0"/>
        <v>2.5500000000000003</v>
      </c>
      <c r="F13" s="140">
        <f t="shared" si="1"/>
        <v>257.55</v>
      </c>
      <c r="G13" s="140">
        <f t="shared" si="2"/>
        <v>64.387500000000003</v>
      </c>
      <c r="H13" s="140">
        <f t="shared" si="3"/>
        <v>321.9375</v>
      </c>
    </row>
    <row r="14" spans="1:8" ht="24.9" customHeight="1" x14ac:dyDescent="0.25">
      <c r="A14" s="141"/>
      <c r="B14" s="127"/>
      <c r="C14" s="125" t="s">
        <v>449</v>
      </c>
      <c r="D14" s="124">
        <v>636</v>
      </c>
      <c r="E14" s="140">
        <f t="shared" si="0"/>
        <v>6.36</v>
      </c>
      <c r="F14" s="140">
        <f t="shared" si="1"/>
        <v>642.36</v>
      </c>
      <c r="G14" s="140">
        <f t="shared" si="2"/>
        <v>160.59</v>
      </c>
      <c r="H14" s="140">
        <f t="shared" si="3"/>
        <v>802.95</v>
      </c>
    </row>
    <row r="15" spans="1:8" ht="24.9" customHeight="1" x14ac:dyDescent="0.25">
      <c r="A15" s="141"/>
      <c r="B15" s="127"/>
      <c r="C15" s="130" t="s">
        <v>451</v>
      </c>
      <c r="D15" s="124">
        <v>3</v>
      </c>
      <c r="E15" s="140">
        <f t="shared" si="0"/>
        <v>0.03</v>
      </c>
      <c r="F15" s="140">
        <f t="shared" si="1"/>
        <v>3.03</v>
      </c>
      <c r="G15" s="140">
        <f t="shared" si="2"/>
        <v>0.75749999999999995</v>
      </c>
      <c r="H15" s="140">
        <f t="shared" si="3"/>
        <v>3.7874999999999996</v>
      </c>
    </row>
    <row r="16" spans="1:8" ht="24.9" customHeight="1" x14ac:dyDescent="0.25">
      <c r="A16" s="141"/>
      <c r="B16" s="127"/>
      <c r="C16" s="130" t="s">
        <v>452</v>
      </c>
      <c r="D16" s="124">
        <v>4</v>
      </c>
      <c r="E16" s="140">
        <f t="shared" si="0"/>
        <v>0.04</v>
      </c>
      <c r="F16" s="140">
        <f t="shared" si="1"/>
        <v>4.04</v>
      </c>
      <c r="G16" s="140">
        <f t="shared" si="2"/>
        <v>1.01</v>
      </c>
      <c r="H16" s="140">
        <f t="shared" si="3"/>
        <v>5.05</v>
      </c>
    </row>
    <row r="17" spans="1:9" ht="24.9" customHeight="1" x14ac:dyDescent="0.25">
      <c r="A17" s="141"/>
      <c r="B17" s="128"/>
      <c r="C17" s="130" t="s">
        <v>453</v>
      </c>
      <c r="D17" s="124">
        <v>11</v>
      </c>
      <c r="E17" s="140">
        <f t="shared" si="0"/>
        <v>0.11</v>
      </c>
      <c r="F17" s="140">
        <f t="shared" si="1"/>
        <v>11.11</v>
      </c>
      <c r="G17" s="140">
        <f t="shared" si="2"/>
        <v>2.7774999999999999</v>
      </c>
      <c r="H17" s="140">
        <f t="shared" si="3"/>
        <v>13.887499999999999</v>
      </c>
    </row>
    <row r="18" spans="1:9" ht="24.9" customHeight="1" x14ac:dyDescent="0.25">
      <c r="A18" s="141"/>
      <c r="B18" s="128"/>
      <c r="C18" s="130" t="s">
        <v>455</v>
      </c>
      <c r="D18" s="124">
        <v>14</v>
      </c>
      <c r="E18" s="140">
        <f t="shared" si="0"/>
        <v>0.14000000000000001</v>
      </c>
      <c r="F18" s="140">
        <f t="shared" si="1"/>
        <v>14.14</v>
      </c>
      <c r="G18" s="140">
        <f t="shared" si="2"/>
        <v>3.5350000000000001</v>
      </c>
      <c r="H18" s="140">
        <f t="shared" si="3"/>
        <v>17.675000000000001</v>
      </c>
    </row>
    <row r="19" spans="1:9" ht="24.9" customHeight="1" x14ac:dyDescent="0.25">
      <c r="A19" s="141"/>
      <c r="B19" s="128"/>
      <c r="C19" s="130" t="s">
        <v>456</v>
      </c>
      <c r="D19" s="124">
        <v>26</v>
      </c>
      <c r="E19" s="140">
        <f t="shared" si="0"/>
        <v>0.26</v>
      </c>
      <c r="F19" s="140">
        <f t="shared" si="1"/>
        <v>26.26</v>
      </c>
      <c r="G19" s="140">
        <f t="shared" si="2"/>
        <v>6.5650000000000004</v>
      </c>
      <c r="H19" s="140">
        <f t="shared" si="3"/>
        <v>32.825000000000003</v>
      </c>
    </row>
    <row r="20" spans="1:9" ht="24.9" customHeight="1" x14ac:dyDescent="0.25">
      <c r="A20" s="141"/>
      <c r="B20" s="128"/>
      <c r="C20" s="130" t="s">
        <v>458</v>
      </c>
      <c r="D20" s="124">
        <v>136</v>
      </c>
      <c r="E20" s="140">
        <f t="shared" si="0"/>
        <v>1.36</v>
      </c>
      <c r="F20" s="140">
        <f t="shared" si="1"/>
        <v>137.36000000000001</v>
      </c>
      <c r="G20" s="140">
        <f t="shared" si="2"/>
        <v>34.340000000000003</v>
      </c>
      <c r="H20" s="140">
        <f t="shared" si="3"/>
        <v>171.70000000000002</v>
      </c>
    </row>
    <row r="21" spans="1:9" ht="24.9" customHeight="1" x14ac:dyDescent="0.25">
      <c r="A21" s="141"/>
      <c r="B21" s="128"/>
      <c r="C21" s="130" t="s">
        <v>459</v>
      </c>
      <c r="D21" s="124">
        <v>162</v>
      </c>
      <c r="E21" s="140">
        <f t="shared" si="0"/>
        <v>1.62</v>
      </c>
      <c r="F21" s="140">
        <f t="shared" si="1"/>
        <v>163.62</v>
      </c>
      <c r="G21" s="140">
        <f t="shared" si="2"/>
        <v>40.905000000000001</v>
      </c>
      <c r="H21" s="140">
        <f t="shared" si="3"/>
        <v>204.52500000000001</v>
      </c>
    </row>
    <row r="22" spans="1:9" ht="24.9" customHeight="1" x14ac:dyDescent="0.25">
      <c r="A22" s="141"/>
      <c r="B22" s="128"/>
      <c r="C22" s="126" t="s">
        <v>460</v>
      </c>
      <c r="D22" s="124">
        <v>339</v>
      </c>
      <c r="E22" s="140">
        <f t="shared" si="0"/>
        <v>3.39</v>
      </c>
      <c r="F22" s="140">
        <f t="shared" si="1"/>
        <v>342.39</v>
      </c>
      <c r="G22" s="140">
        <f t="shared" si="2"/>
        <v>85.597499999999997</v>
      </c>
      <c r="H22" s="140">
        <f t="shared" si="3"/>
        <v>427.98749999999995</v>
      </c>
    </row>
    <row r="23" spans="1:9" ht="90" x14ac:dyDescent="0.25">
      <c r="A23" s="141"/>
      <c r="B23" s="128"/>
      <c r="C23" s="130" t="s">
        <v>174</v>
      </c>
      <c r="D23" s="124">
        <v>6780</v>
      </c>
      <c r="E23" s="140">
        <f t="shared" si="0"/>
        <v>67.8</v>
      </c>
      <c r="F23" s="140">
        <f t="shared" si="1"/>
        <v>6847.8</v>
      </c>
      <c r="G23" s="140">
        <f t="shared" si="2"/>
        <v>1711.95</v>
      </c>
      <c r="H23" s="140">
        <f t="shared" si="3"/>
        <v>8559.75</v>
      </c>
    </row>
    <row r="24" spans="1:9" ht="17.399999999999999" x14ac:dyDescent="0.25">
      <c r="A24" s="142"/>
      <c r="B24" s="143"/>
      <c r="C24" s="144" t="s">
        <v>463</v>
      </c>
      <c r="D24" s="145">
        <v>1950</v>
      </c>
      <c r="E24" s="140">
        <f t="shared" si="0"/>
        <v>19.5</v>
      </c>
      <c r="F24" s="140">
        <f t="shared" si="1"/>
        <v>1969.5</v>
      </c>
      <c r="G24" s="140">
        <f t="shared" si="2"/>
        <v>492.375</v>
      </c>
      <c r="H24" s="140">
        <f t="shared" si="3"/>
        <v>2461.875</v>
      </c>
    </row>
    <row r="25" spans="1:9" ht="17.399999999999999" x14ac:dyDescent="0.25">
      <c r="A25" s="142"/>
      <c r="B25" s="143"/>
      <c r="C25" s="144" t="s">
        <v>464</v>
      </c>
      <c r="D25" s="145">
        <v>20340</v>
      </c>
      <c r="E25" s="140">
        <f t="shared" si="0"/>
        <v>203.4</v>
      </c>
      <c r="F25" s="140">
        <f t="shared" si="1"/>
        <v>20543.400000000001</v>
      </c>
      <c r="G25" s="140">
        <f t="shared" si="2"/>
        <v>5135.8500000000004</v>
      </c>
      <c r="H25" s="140">
        <f t="shared" si="3"/>
        <v>25679.25</v>
      </c>
    </row>
    <row r="26" spans="1:9" ht="15" x14ac:dyDescent="0.25">
      <c r="A26" s="142"/>
      <c r="B26" s="143"/>
      <c r="C26" s="144"/>
      <c r="D26" s="145"/>
      <c r="E26" s="145"/>
      <c r="F26" s="145"/>
      <c r="G26" s="145"/>
      <c r="H26" s="145"/>
    </row>
    <row r="27" spans="1:9" ht="24.9" customHeight="1" x14ac:dyDescent="0.25"/>
    <row r="29" spans="1:9" ht="17.399999999999999" x14ac:dyDescent="0.3">
      <c r="A29" s="110"/>
      <c r="B29" s="110" t="s">
        <v>372</v>
      </c>
      <c r="C29" s="110"/>
      <c r="D29" s="110" t="s">
        <v>409</v>
      </c>
      <c r="F29" s="110"/>
      <c r="G29" s="110" t="s">
        <v>371</v>
      </c>
      <c r="H29" s="110"/>
      <c r="I29" s="110"/>
    </row>
    <row r="30" spans="1:9" ht="17.399999999999999" x14ac:dyDescent="0.3">
      <c r="A30" s="110"/>
      <c r="B30" s="110" t="s">
        <v>408</v>
      </c>
      <c r="C30" s="110"/>
      <c r="D30" s="110" t="s">
        <v>407</v>
      </c>
      <c r="F30" s="110"/>
      <c r="G30" s="110" t="s">
        <v>382</v>
      </c>
      <c r="H30" s="110"/>
      <c r="I30" s="110"/>
    </row>
    <row r="31" spans="1:9" ht="17.399999999999999" x14ac:dyDescent="0.3">
      <c r="A31" s="110"/>
      <c r="B31" s="110" t="s">
        <v>381</v>
      </c>
      <c r="C31" s="110"/>
      <c r="D31" s="110" t="s">
        <v>381</v>
      </c>
      <c r="F31" s="110"/>
      <c r="G31" s="110" t="s">
        <v>381</v>
      </c>
      <c r="H31" s="110"/>
      <c r="I31" s="110"/>
    </row>
  </sheetData>
  <mergeCells count="3">
    <mergeCell ref="C3:H3"/>
    <mergeCell ref="A1:H1"/>
    <mergeCell ref="A3:B3"/>
  </mergeCells>
  <printOptions horizontalCentered="1" verticalCentered="1"/>
  <pageMargins left="0" right="0" top="0.59055118110236227" bottom="0" header="0.31496062992125984" footer="0"/>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24"/>
  <sheetViews>
    <sheetView view="pageBreakPreview" zoomScale="68" workbookViewId="0">
      <selection activeCell="O8" sqref="O8"/>
    </sheetView>
  </sheetViews>
  <sheetFormatPr defaultColWidth="9.109375" defaultRowHeight="13.2" x14ac:dyDescent="0.25"/>
  <cols>
    <col min="1" max="1" width="9.109375" style="1"/>
    <col min="2" max="2" width="9.88671875" style="1" customWidth="1"/>
    <col min="3" max="3" width="43.33203125" style="1" customWidth="1"/>
    <col min="4" max="4" width="7.109375" style="1" customWidth="1"/>
    <col min="5" max="5" width="12.88671875" style="1" customWidth="1"/>
    <col min="6" max="6" width="12" style="1" customWidth="1"/>
    <col min="7" max="7" width="14.109375" style="1" customWidth="1"/>
    <col min="8" max="16384" width="9.109375" style="1"/>
  </cols>
  <sheetData>
    <row r="2" spans="2:7" ht="54.9" customHeight="1" x14ac:dyDescent="0.25">
      <c r="B2" s="169" t="s">
        <v>0</v>
      </c>
      <c r="C2" s="170"/>
      <c r="D2" s="170"/>
      <c r="E2" s="170"/>
      <c r="F2" s="170"/>
      <c r="G2" s="170"/>
    </row>
    <row r="3" spans="2:7" ht="20.399999999999999" x14ac:dyDescent="0.25">
      <c r="B3" s="171" t="s">
        <v>1</v>
      </c>
      <c r="C3" s="171"/>
      <c r="D3" s="171"/>
      <c r="E3" s="171"/>
      <c r="F3" s="171"/>
      <c r="G3" s="171"/>
    </row>
    <row r="4" spans="2:7" ht="20.399999999999999" x14ac:dyDescent="0.25">
      <c r="B4" s="172" t="s">
        <v>2</v>
      </c>
      <c r="C4" s="172"/>
      <c r="D4" s="172"/>
      <c r="E4" s="172"/>
      <c r="F4" s="172"/>
      <c r="G4" s="172"/>
    </row>
    <row r="5" spans="2:7" ht="104.1" customHeight="1" x14ac:dyDescent="0.25">
      <c r="B5" s="2">
        <v>1</v>
      </c>
      <c r="C5" s="168" t="s">
        <v>3</v>
      </c>
      <c r="D5" s="168"/>
      <c r="E5" s="168"/>
      <c r="F5" s="168"/>
      <c r="G5" s="168"/>
    </row>
    <row r="6" spans="2:7" ht="80.099999999999994" customHeight="1" x14ac:dyDescent="0.25">
      <c r="B6" s="2">
        <v>2</v>
      </c>
      <c r="C6" s="168" t="s">
        <v>4</v>
      </c>
      <c r="D6" s="168"/>
      <c r="E6" s="168"/>
      <c r="F6" s="168"/>
      <c r="G6" s="168"/>
    </row>
    <row r="7" spans="2:7" ht="66" customHeight="1" x14ac:dyDescent="0.25">
      <c r="B7" s="2">
        <v>3</v>
      </c>
      <c r="C7" s="168" t="s">
        <v>5</v>
      </c>
      <c r="D7" s="168"/>
      <c r="E7" s="168"/>
      <c r="F7" s="168"/>
      <c r="G7" s="168"/>
    </row>
    <row r="8" spans="2:7" ht="65.099999999999994" customHeight="1" x14ac:dyDescent="0.25">
      <c r="B8" s="2">
        <v>4</v>
      </c>
      <c r="C8" s="168" t="s">
        <v>6</v>
      </c>
      <c r="D8" s="168"/>
      <c r="E8" s="168"/>
      <c r="F8" s="168"/>
      <c r="G8" s="168"/>
    </row>
    <row r="9" spans="2:7" ht="108" customHeight="1" x14ac:dyDescent="0.25">
      <c r="B9" s="2">
        <v>5</v>
      </c>
      <c r="C9" s="168" t="s">
        <v>7</v>
      </c>
      <c r="D9" s="168"/>
      <c r="E9" s="168"/>
      <c r="F9" s="168"/>
      <c r="G9" s="168"/>
    </row>
    <row r="10" spans="2:7" ht="80.099999999999994" customHeight="1" x14ac:dyDescent="0.25">
      <c r="B10" s="2">
        <v>6</v>
      </c>
      <c r="C10" s="168" t="s">
        <v>8</v>
      </c>
      <c r="D10" s="168"/>
      <c r="E10" s="168"/>
      <c r="F10" s="168"/>
      <c r="G10" s="168"/>
    </row>
    <row r="11" spans="2:7" ht="53.1" customHeight="1" x14ac:dyDescent="0.25">
      <c r="B11" s="2">
        <v>7</v>
      </c>
      <c r="C11" s="168" t="s">
        <v>9</v>
      </c>
      <c r="D11" s="168"/>
      <c r="E11" s="168"/>
      <c r="F11" s="168"/>
      <c r="G11" s="168"/>
    </row>
    <row r="12" spans="2:7" ht="63" customHeight="1" x14ac:dyDescent="0.25">
      <c r="B12" s="2">
        <v>8</v>
      </c>
      <c r="C12" s="168" t="s">
        <v>10</v>
      </c>
      <c r="D12" s="168"/>
      <c r="E12" s="168"/>
      <c r="F12" s="168"/>
      <c r="G12" s="168"/>
    </row>
    <row r="13" spans="2:7" ht="51" customHeight="1" x14ac:dyDescent="0.25">
      <c r="B13" s="2">
        <v>9</v>
      </c>
      <c r="C13" s="168" t="s">
        <v>11</v>
      </c>
      <c r="D13" s="168"/>
      <c r="E13" s="168"/>
      <c r="F13" s="168"/>
      <c r="G13" s="168"/>
    </row>
    <row r="14" spans="2:7" ht="44.1" customHeight="1" x14ac:dyDescent="0.25">
      <c r="B14" s="2">
        <v>10</v>
      </c>
      <c r="C14" s="168" t="s">
        <v>12</v>
      </c>
      <c r="D14" s="168"/>
      <c r="E14" s="168"/>
      <c r="F14" s="168"/>
      <c r="G14" s="168"/>
    </row>
    <row r="15" spans="2:7" ht="68.099999999999994" customHeight="1" x14ac:dyDescent="0.25">
      <c r="B15" s="2">
        <v>11</v>
      </c>
      <c r="C15" s="168" t="s">
        <v>13</v>
      </c>
      <c r="D15" s="168"/>
      <c r="E15" s="168"/>
      <c r="F15" s="168"/>
      <c r="G15" s="168"/>
    </row>
    <row r="16" spans="2:7" ht="62.4" x14ac:dyDescent="0.25">
      <c r="B16" s="3" t="s">
        <v>14</v>
      </c>
      <c r="C16" s="4" t="s">
        <v>15</v>
      </c>
      <c r="D16" s="5"/>
      <c r="E16" s="6"/>
      <c r="F16" s="6"/>
      <c r="G16" s="7"/>
    </row>
    <row r="17" spans="2:7" ht="46.8" x14ac:dyDescent="0.25">
      <c r="B17" s="8"/>
      <c r="C17" s="9" t="s">
        <v>16</v>
      </c>
      <c r="D17" s="5" t="s">
        <v>17</v>
      </c>
      <c r="E17" s="6">
        <v>0</v>
      </c>
      <c r="F17" s="7">
        <v>21</v>
      </c>
      <c r="G17" s="7">
        <f t="shared" ref="G17:G27" si="0">+E17+F17</f>
        <v>21</v>
      </c>
    </row>
    <row r="18" spans="2:7" ht="46.8" x14ac:dyDescent="0.25">
      <c r="B18" s="8"/>
      <c r="C18" s="9" t="s">
        <v>18</v>
      </c>
      <c r="D18" s="5" t="s">
        <v>17</v>
      </c>
      <c r="E18" s="6">
        <v>0</v>
      </c>
      <c r="F18" s="7">
        <v>3</v>
      </c>
      <c r="G18" s="7">
        <f t="shared" si="0"/>
        <v>3</v>
      </c>
    </row>
    <row r="19" spans="2:7" ht="46.8" x14ac:dyDescent="0.25">
      <c r="B19" s="8"/>
      <c r="C19" s="9" t="s">
        <v>19</v>
      </c>
      <c r="D19" s="5" t="s">
        <v>17</v>
      </c>
      <c r="E19" s="6">
        <v>0</v>
      </c>
      <c r="F19" s="7">
        <v>7</v>
      </c>
      <c r="G19" s="7">
        <f t="shared" si="0"/>
        <v>7</v>
      </c>
    </row>
    <row r="20" spans="2:7" ht="46.8" x14ac:dyDescent="0.25">
      <c r="B20" s="8"/>
      <c r="C20" s="9" t="s">
        <v>20</v>
      </c>
      <c r="D20" s="5" t="s">
        <v>21</v>
      </c>
      <c r="E20" s="6">
        <v>0</v>
      </c>
      <c r="F20" s="7">
        <v>1</v>
      </c>
      <c r="G20" s="7">
        <f t="shared" si="0"/>
        <v>1</v>
      </c>
    </row>
    <row r="21" spans="2:7" ht="46.8" x14ac:dyDescent="0.25">
      <c r="B21" s="8"/>
      <c r="C21" s="9" t="s">
        <v>22</v>
      </c>
      <c r="D21" s="5" t="s">
        <v>23</v>
      </c>
      <c r="E21" s="6">
        <v>0</v>
      </c>
      <c r="F21" s="7">
        <v>250</v>
      </c>
      <c r="G21" s="7">
        <f t="shared" si="0"/>
        <v>250</v>
      </c>
    </row>
    <row r="22" spans="2:7" ht="93.6" x14ac:dyDescent="0.25">
      <c r="B22" s="3" t="s">
        <v>24</v>
      </c>
      <c r="C22" s="4" t="s">
        <v>25</v>
      </c>
      <c r="D22" s="5" t="s">
        <v>26</v>
      </c>
      <c r="E22" s="6">
        <v>0</v>
      </c>
      <c r="F22" s="6">
        <v>3</v>
      </c>
      <c r="G22" s="7">
        <f t="shared" si="0"/>
        <v>3</v>
      </c>
    </row>
    <row r="23" spans="2:7" ht="62.4" x14ac:dyDescent="0.25">
      <c r="B23" s="3" t="s">
        <v>27</v>
      </c>
      <c r="C23" s="4" t="s">
        <v>28</v>
      </c>
      <c r="D23" s="5" t="s">
        <v>26</v>
      </c>
      <c r="E23" s="6">
        <v>0</v>
      </c>
      <c r="F23" s="6">
        <v>20</v>
      </c>
      <c r="G23" s="7">
        <f t="shared" si="0"/>
        <v>20</v>
      </c>
    </row>
    <row r="24" spans="2:7" ht="31.2" x14ac:dyDescent="0.25">
      <c r="B24" s="3" t="s">
        <v>29</v>
      </c>
      <c r="C24" s="4" t="s">
        <v>30</v>
      </c>
      <c r="D24" s="5" t="s">
        <v>31</v>
      </c>
      <c r="E24" s="6">
        <v>0</v>
      </c>
      <c r="F24" s="6">
        <v>13</v>
      </c>
      <c r="G24" s="7">
        <f t="shared" si="0"/>
        <v>13</v>
      </c>
    </row>
    <row r="25" spans="2:7" ht="93.6" x14ac:dyDescent="0.25">
      <c r="B25" s="3" t="s">
        <v>32</v>
      </c>
      <c r="C25" s="4" t="s">
        <v>33</v>
      </c>
      <c r="D25" s="5" t="s">
        <v>34</v>
      </c>
      <c r="E25" s="6">
        <v>0</v>
      </c>
      <c r="F25" s="6">
        <v>17</v>
      </c>
      <c r="G25" s="7">
        <f t="shared" si="0"/>
        <v>17</v>
      </c>
    </row>
    <row r="26" spans="2:7" ht="109.2" x14ac:dyDescent="0.25">
      <c r="B26" s="3" t="s">
        <v>35</v>
      </c>
      <c r="C26" s="4" t="s">
        <v>36</v>
      </c>
      <c r="D26" s="5" t="s">
        <v>34</v>
      </c>
      <c r="E26" s="6">
        <v>0</v>
      </c>
      <c r="F26" s="6">
        <v>60</v>
      </c>
      <c r="G26" s="7">
        <f t="shared" si="0"/>
        <v>60</v>
      </c>
    </row>
    <row r="27" spans="2:7" ht="78" x14ac:dyDescent="0.25">
      <c r="B27" s="3" t="s">
        <v>37</v>
      </c>
      <c r="C27" s="9" t="s">
        <v>38</v>
      </c>
      <c r="D27" s="5" t="s">
        <v>34</v>
      </c>
      <c r="E27" s="6">
        <v>0</v>
      </c>
      <c r="F27" s="6">
        <v>80</v>
      </c>
      <c r="G27" s="7">
        <f t="shared" si="0"/>
        <v>80</v>
      </c>
    </row>
    <row r="28" spans="2:7" ht="140.4" x14ac:dyDescent="0.25">
      <c r="B28" s="3" t="s">
        <v>39</v>
      </c>
      <c r="C28" s="4" t="s">
        <v>40</v>
      </c>
      <c r="D28" s="10"/>
      <c r="E28" s="6"/>
      <c r="F28" s="6"/>
      <c r="G28" s="11"/>
    </row>
    <row r="29" spans="2:7" ht="41.4" x14ac:dyDescent="0.25">
      <c r="B29" s="8"/>
      <c r="C29" s="9" t="s">
        <v>41</v>
      </c>
      <c r="D29" s="10" t="s">
        <v>42</v>
      </c>
      <c r="E29" s="6">
        <v>0</v>
      </c>
      <c r="F29" s="11">
        <v>193</v>
      </c>
      <c r="G29" s="11">
        <v>193</v>
      </c>
    </row>
    <row r="30" spans="2:7" ht="41.4" x14ac:dyDescent="0.25">
      <c r="B30" s="8"/>
      <c r="C30" s="9" t="s">
        <v>43</v>
      </c>
      <c r="D30" s="10" t="s">
        <v>42</v>
      </c>
      <c r="E30" s="6">
        <v>0</v>
      </c>
      <c r="F30" s="11">
        <v>270</v>
      </c>
      <c r="G30" s="11">
        <v>270</v>
      </c>
    </row>
    <row r="31" spans="2:7" ht="41.4" x14ac:dyDescent="0.25">
      <c r="B31" s="8"/>
      <c r="C31" s="9" t="s">
        <v>44</v>
      </c>
      <c r="D31" s="10" t="s">
        <v>42</v>
      </c>
      <c r="E31" s="6">
        <v>0</v>
      </c>
      <c r="F31" s="11">
        <v>300</v>
      </c>
      <c r="G31" s="11">
        <v>300</v>
      </c>
    </row>
    <row r="32" spans="2:7" ht="41.4" x14ac:dyDescent="0.25">
      <c r="B32" s="8"/>
      <c r="C32" s="9" t="s">
        <v>45</v>
      </c>
      <c r="D32" s="10" t="s">
        <v>42</v>
      </c>
      <c r="E32" s="6">
        <v>0</v>
      </c>
      <c r="F32" s="11">
        <v>483</v>
      </c>
      <c r="G32" s="11">
        <v>483</v>
      </c>
    </row>
    <row r="33" spans="2:7" ht="93.6" x14ac:dyDescent="0.25">
      <c r="B33" s="3" t="s">
        <v>46</v>
      </c>
      <c r="C33" s="4" t="s">
        <v>47</v>
      </c>
      <c r="D33" s="10"/>
      <c r="E33" s="6"/>
      <c r="F33" s="12"/>
      <c r="G33" s="11"/>
    </row>
    <row r="34" spans="2:7" ht="41.4" x14ac:dyDescent="0.25">
      <c r="B34" s="8"/>
      <c r="C34" s="9" t="s">
        <v>48</v>
      </c>
      <c r="D34" s="10" t="s">
        <v>42</v>
      </c>
      <c r="E34" s="6">
        <v>0</v>
      </c>
      <c r="F34" s="11">
        <v>115</v>
      </c>
      <c r="G34" s="11">
        <v>115</v>
      </c>
    </row>
    <row r="35" spans="2:7" ht="41.4" x14ac:dyDescent="0.25">
      <c r="B35" s="8"/>
      <c r="C35" s="9" t="s">
        <v>49</v>
      </c>
      <c r="D35" s="10" t="s">
        <v>42</v>
      </c>
      <c r="E35" s="6">
        <v>0</v>
      </c>
      <c r="F35" s="11">
        <v>138</v>
      </c>
      <c r="G35" s="11">
        <v>138</v>
      </c>
    </row>
    <row r="36" spans="2:7" ht="41.4" x14ac:dyDescent="0.25">
      <c r="B36" s="8"/>
      <c r="C36" s="9" t="s">
        <v>50</v>
      </c>
      <c r="D36" s="10" t="s">
        <v>42</v>
      </c>
      <c r="E36" s="6">
        <v>0</v>
      </c>
      <c r="F36" s="11">
        <v>174</v>
      </c>
      <c r="G36" s="11">
        <v>174</v>
      </c>
    </row>
    <row r="37" spans="2:7" ht="41.4" x14ac:dyDescent="0.25">
      <c r="B37" s="8"/>
      <c r="C37" s="9" t="s">
        <v>51</v>
      </c>
      <c r="D37" s="10" t="s">
        <v>42</v>
      </c>
      <c r="E37" s="6">
        <v>0</v>
      </c>
      <c r="F37" s="11">
        <v>269</v>
      </c>
      <c r="G37" s="11">
        <v>269</v>
      </c>
    </row>
    <row r="38" spans="2:7" ht="46.8" x14ac:dyDescent="0.25">
      <c r="B38" s="3" t="s">
        <v>52</v>
      </c>
      <c r="C38" s="4" t="s">
        <v>53</v>
      </c>
      <c r="D38" s="10" t="s">
        <v>42</v>
      </c>
      <c r="E38" s="6">
        <v>0</v>
      </c>
      <c r="F38" s="11">
        <v>176</v>
      </c>
      <c r="G38" s="11">
        <v>176</v>
      </c>
    </row>
    <row r="39" spans="2:7" ht="93.6" x14ac:dyDescent="0.25">
      <c r="B39" s="3" t="s">
        <v>54</v>
      </c>
      <c r="C39" s="4" t="s">
        <v>55</v>
      </c>
      <c r="D39" s="10"/>
      <c r="E39" s="6"/>
      <c r="F39" s="12"/>
      <c r="G39" s="11"/>
    </row>
    <row r="40" spans="2:7" ht="41.4" x14ac:dyDescent="0.25">
      <c r="B40" s="8"/>
      <c r="C40" s="9" t="s">
        <v>56</v>
      </c>
      <c r="D40" s="10" t="s">
        <v>42</v>
      </c>
      <c r="E40" s="6">
        <v>0</v>
      </c>
      <c r="F40" s="11">
        <f>9500*1.1</f>
        <v>10450</v>
      </c>
      <c r="G40" s="11">
        <f t="shared" ref="G40:G43" si="1">F40</f>
        <v>10450</v>
      </c>
    </row>
    <row r="41" spans="2:7" ht="41.4" x14ac:dyDescent="0.25">
      <c r="B41" s="8"/>
      <c r="C41" s="9" t="s">
        <v>57</v>
      </c>
      <c r="D41" s="10" t="s">
        <v>42</v>
      </c>
      <c r="E41" s="6">
        <v>0</v>
      </c>
      <c r="F41" s="11">
        <f>15500*1.1</f>
        <v>17050</v>
      </c>
      <c r="G41" s="11">
        <f t="shared" si="1"/>
        <v>17050</v>
      </c>
    </row>
    <row r="42" spans="2:7" ht="124.8" x14ac:dyDescent="0.25">
      <c r="B42" s="3" t="s">
        <v>58</v>
      </c>
      <c r="C42" s="4" t="s">
        <v>59</v>
      </c>
      <c r="D42" s="10" t="s">
        <v>42</v>
      </c>
      <c r="E42" s="6">
        <v>0</v>
      </c>
      <c r="F42" s="11">
        <v>8250</v>
      </c>
      <c r="G42" s="11">
        <v>8250</v>
      </c>
    </row>
    <row r="43" spans="2:7" ht="78" x14ac:dyDescent="0.25">
      <c r="B43" s="3" t="s">
        <v>60</v>
      </c>
      <c r="C43" s="13" t="s">
        <v>61</v>
      </c>
      <c r="D43" s="10" t="s">
        <v>42</v>
      </c>
      <c r="E43" s="6">
        <v>0</v>
      </c>
      <c r="F43" s="6">
        <v>7500</v>
      </c>
      <c r="G43" s="11">
        <f t="shared" si="1"/>
        <v>7500</v>
      </c>
    </row>
    <row r="44" spans="2:7" ht="93.6" x14ac:dyDescent="0.25">
      <c r="B44" s="3" t="s">
        <v>62</v>
      </c>
      <c r="C44" s="13" t="s">
        <v>63</v>
      </c>
      <c r="D44" s="14"/>
      <c r="E44" s="6"/>
      <c r="F44" s="6"/>
      <c r="G44" s="11"/>
    </row>
    <row r="45" spans="2:7" ht="31.2" x14ac:dyDescent="0.25">
      <c r="B45" s="3" t="s">
        <v>64</v>
      </c>
      <c r="C45" s="13" t="s">
        <v>65</v>
      </c>
      <c r="D45" s="14" t="s">
        <v>66</v>
      </c>
      <c r="E45" s="6"/>
      <c r="F45" s="6">
        <v>1200</v>
      </c>
      <c r="G45" s="11">
        <v>1200</v>
      </c>
    </row>
    <row r="46" spans="2:7" ht="31.2" x14ac:dyDescent="0.25">
      <c r="B46" s="3" t="s">
        <v>67</v>
      </c>
      <c r="C46" s="13" t="s">
        <v>68</v>
      </c>
      <c r="D46" s="14" t="s">
        <v>66</v>
      </c>
      <c r="E46" s="6"/>
      <c r="F46" s="6">
        <v>1800</v>
      </c>
      <c r="G46" s="11">
        <v>1800</v>
      </c>
    </row>
    <row r="47" spans="2:7" ht="62.4" x14ac:dyDescent="0.25">
      <c r="B47" s="15" t="s">
        <v>69</v>
      </c>
      <c r="C47" s="13" t="s">
        <v>70</v>
      </c>
      <c r="D47" s="16" t="s">
        <v>34</v>
      </c>
      <c r="E47" s="17">
        <v>0</v>
      </c>
      <c r="F47" s="17">
        <v>80</v>
      </c>
      <c r="G47" s="18">
        <v>80</v>
      </c>
    </row>
    <row r="48" spans="2:7" ht="15.6" x14ac:dyDescent="0.25">
      <c r="B48" s="19"/>
      <c r="C48" s="20" t="s">
        <v>71</v>
      </c>
      <c r="D48" s="16"/>
      <c r="E48" s="17"/>
      <c r="F48" s="17"/>
      <c r="G48" s="18"/>
    </row>
    <row r="49" spans="2:7" ht="62.4" x14ac:dyDescent="0.25">
      <c r="B49" s="15" t="s">
        <v>72</v>
      </c>
      <c r="C49" s="13" t="s">
        <v>73</v>
      </c>
      <c r="D49" s="16" t="s">
        <v>34</v>
      </c>
      <c r="E49" s="17">
        <v>0</v>
      </c>
      <c r="F49" s="17">
        <f>230*1.25</f>
        <v>287.5</v>
      </c>
      <c r="G49" s="17">
        <f>F49</f>
        <v>287.5</v>
      </c>
    </row>
    <row r="50" spans="2:7" ht="62.4" x14ac:dyDescent="0.25">
      <c r="B50" s="15" t="s">
        <v>74</v>
      </c>
      <c r="C50" s="13" t="s">
        <v>75</v>
      </c>
      <c r="D50" s="16" t="s">
        <v>34</v>
      </c>
      <c r="E50" s="17">
        <v>0</v>
      </c>
      <c r="F50" s="17">
        <f>200*1.25</f>
        <v>250</v>
      </c>
      <c r="G50" s="17">
        <v>250</v>
      </c>
    </row>
    <row r="51" spans="2:7" ht="78" x14ac:dyDescent="0.25">
      <c r="B51" s="15" t="s">
        <v>76</v>
      </c>
      <c r="C51" s="13" t="s">
        <v>77</v>
      </c>
      <c r="D51" s="16" t="s">
        <v>34</v>
      </c>
      <c r="E51" s="17">
        <v>0</v>
      </c>
      <c r="F51" s="17">
        <f>400*1.25</f>
        <v>500</v>
      </c>
      <c r="G51" s="17">
        <v>500</v>
      </c>
    </row>
    <row r="52" spans="2:7" ht="15.6" x14ac:dyDescent="0.25">
      <c r="B52" s="21"/>
      <c r="C52" s="22"/>
      <c r="D52" s="23"/>
      <c r="E52" s="24"/>
      <c r="F52" s="24"/>
      <c r="G52" s="25"/>
    </row>
    <row r="53" spans="2:7" ht="46.8" x14ac:dyDescent="0.25">
      <c r="B53" s="3" t="s">
        <v>78</v>
      </c>
      <c r="C53" s="4" t="s">
        <v>79</v>
      </c>
      <c r="D53" s="5" t="s">
        <v>34</v>
      </c>
      <c r="E53" s="6">
        <v>0</v>
      </c>
      <c r="F53" s="6">
        <v>25</v>
      </c>
      <c r="G53" s="7">
        <v>25</v>
      </c>
    </row>
    <row r="54" spans="2:7" ht="62.4" x14ac:dyDescent="0.25">
      <c r="B54" s="3" t="s">
        <v>80</v>
      </c>
      <c r="C54" s="9" t="s">
        <v>81</v>
      </c>
      <c r="D54" s="5"/>
      <c r="E54" s="6"/>
      <c r="F54" s="6"/>
      <c r="G54" s="7"/>
    </row>
    <row r="55" spans="2:7" ht="46.8" x14ac:dyDescent="0.25">
      <c r="B55" s="8"/>
      <c r="C55" s="9" t="s">
        <v>82</v>
      </c>
      <c r="D55" s="5" t="s">
        <v>34</v>
      </c>
      <c r="E55" s="6">
        <v>0</v>
      </c>
      <c r="F55" s="7">
        <v>31</v>
      </c>
      <c r="G55" s="7">
        <f t="shared" ref="G55:G75" si="2">+F55</f>
        <v>31</v>
      </c>
    </row>
    <row r="56" spans="2:7" ht="46.8" x14ac:dyDescent="0.25">
      <c r="B56" s="8"/>
      <c r="C56" s="9" t="s">
        <v>83</v>
      </c>
      <c r="D56" s="5" t="s">
        <v>34</v>
      </c>
      <c r="E56" s="6">
        <v>0</v>
      </c>
      <c r="F56" s="7">
        <v>40</v>
      </c>
      <c r="G56" s="7">
        <f t="shared" si="2"/>
        <v>40</v>
      </c>
    </row>
    <row r="57" spans="2:7" ht="46.8" x14ac:dyDescent="0.25">
      <c r="B57" s="8"/>
      <c r="C57" s="9" t="s">
        <v>84</v>
      </c>
      <c r="D57" s="5" t="s">
        <v>34</v>
      </c>
      <c r="E57" s="6">
        <v>0</v>
      </c>
      <c r="F57" s="7">
        <v>80</v>
      </c>
      <c r="G57" s="7">
        <f t="shared" si="2"/>
        <v>80</v>
      </c>
    </row>
    <row r="58" spans="2:7" ht="46.8" x14ac:dyDescent="0.25">
      <c r="B58" s="8"/>
      <c r="C58" s="9" t="s">
        <v>85</v>
      </c>
      <c r="D58" s="5" t="s">
        <v>34</v>
      </c>
      <c r="E58" s="6">
        <v>0</v>
      </c>
      <c r="F58" s="7">
        <v>250</v>
      </c>
      <c r="G58" s="7">
        <f t="shared" si="2"/>
        <v>250</v>
      </c>
    </row>
    <row r="59" spans="2:7" ht="46.8" x14ac:dyDescent="0.25">
      <c r="B59" s="8"/>
      <c r="C59" s="9" t="s">
        <v>86</v>
      </c>
      <c r="D59" s="5" t="s">
        <v>34</v>
      </c>
      <c r="E59" s="6">
        <v>0</v>
      </c>
      <c r="F59" s="7">
        <v>120</v>
      </c>
      <c r="G59" s="7">
        <f t="shared" si="2"/>
        <v>120</v>
      </c>
    </row>
    <row r="60" spans="2:7" ht="46.8" x14ac:dyDescent="0.25">
      <c r="B60" s="8"/>
      <c r="C60" s="9" t="s">
        <v>87</v>
      </c>
      <c r="D60" s="5" t="s">
        <v>34</v>
      </c>
      <c r="E60" s="6">
        <v>0</v>
      </c>
      <c r="F60" s="7">
        <v>150</v>
      </c>
      <c r="G60" s="7">
        <f t="shared" si="2"/>
        <v>150</v>
      </c>
    </row>
    <row r="61" spans="2:7" ht="46.8" x14ac:dyDescent="0.25">
      <c r="B61" s="8"/>
      <c r="C61" s="9" t="s">
        <v>88</v>
      </c>
      <c r="D61" s="5" t="s">
        <v>34</v>
      </c>
      <c r="E61" s="6">
        <v>0</v>
      </c>
      <c r="F61" s="7">
        <v>208</v>
      </c>
      <c r="G61" s="7">
        <f t="shared" si="2"/>
        <v>208</v>
      </c>
    </row>
    <row r="62" spans="2:7" ht="46.8" x14ac:dyDescent="0.25">
      <c r="B62" s="8"/>
      <c r="C62" s="9" t="s">
        <v>89</v>
      </c>
      <c r="D62" s="5" t="s">
        <v>34</v>
      </c>
      <c r="E62" s="6">
        <v>0</v>
      </c>
      <c r="F62" s="7">
        <v>245</v>
      </c>
      <c r="G62" s="7">
        <f t="shared" si="2"/>
        <v>245</v>
      </c>
    </row>
    <row r="63" spans="2:7" ht="46.8" x14ac:dyDescent="0.25">
      <c r="B63" s="8"/>
      <c r="C63" s="9" t="s">
        <v>90</v>
      </c>
      <c r="D63" s="5" t="s">
        <v>34</v>
      </c>
      <c r="E63" s="6">
        <v>0</v>
      </c>
      <c r="F63" s="7">
        <v>60</v>
      </c>
      <c r="G63" s="7">
        <f t="shared" si="2"/>
        <v>60</v>
      </c>
    </row>
    <row r="64" spans="2:7" ht="46.8" x14ac:dyDescent="0.25">
      <c r="B64" s="8"/>
      <c r="C64" s="9" t="s">
        <v>91</v>
      </c>
      <c r="D64" s="5" t="s">
        <v>34</v>
      </c>
      <c r="E64" s="6">
        <v>0</v>
      </c>
      <c r="F64" s="7">
        <v>170</v>
      </c>
      <c r="G64" s="7">
        <f t="shared" si="2"/>
        <v>170</v>
      </c>
    </row>
    <row r="65" spans="2:7" ht="46.8" x14ac:dyDescent="0.25">
      <c r="B65" s="8"/>
      <c r="C65" s="9" t="s">
        <v>92</v>
      </c>
      <c r="D65" s="5" t="s">
        <v>34</v>
      </c>
      <c r="E65" s="6">
        <v>0</v>
      </c>
      <c r="F65" s="7">
        <v>280</v>
      </c>
      <c r="G65" s="7">
        <f t="shared" si="2"/>
        <v>280</v>
      </c>
    </row>
    <row r="66" spans="2:7" ht="46.8" x14ac:dyDescent="0.25">
      <c r="B66" s="8"/>
      <c r="C66" s="9" t="s">
        <v>93</v>
      </c>
      <c r="D66" s="5" t="s">
        <v>34</v>
      </c>
      <c r="E66" s="6">
        <v>0</v>
      </c>
      <c r="F66" s="7">
        <v>450</v>
      </c>
      <c r="G66" s="7">
        <f t="shared" si="2"/>
        <v>450</v>
      </c>
    </row>
    <row r="67" spans="2:7" ht="46.8" x14ac:dyDescent="0.25">
      <c r="B67" s="8"/>
      <c r="C67" s="9" t="s">
        <v>94</v>
      </c>
      <c r="D67" s="5" t="s">
        <v>34</v>
      </c>
      <c r="E67" s="6">
        <v>0</v>
      </c>
      <c r="F67" s="7">
        <v>790</v>
      </c>
      <c r="G67" s="7">
        <f t="shared" si="2"/>
        <v>790</v>
      </c>
    </row>
    <row r="68" spans="2:7" ht="46.8" x14ac:dyDescent="0.25">
      <c r="B68" s="8"/>
      <c r="C68" s="9" t="s">
        <v>95</v>
      </c>
      <c r="D68" s="5" t="s">
        <v>34</v>
      </c>
      <c r="E68" s="6">
        <v>0</v>
      </c>
      <c r="F68" s="7">
        <v>1230</v>
      </c>
      <c r="G68" s="7">
        <f t="shared" si="2"/>
        <v>1230</v>
      </c>
    </row>
    <row r="69" spans="2:7" ht="46.8" x14ac:dyDescent="0.25">
      <c r="B69" s="8"/>
      <c r="C69" s="9" t="s">
        <v>96</v>
      </c>
      <c r="D69" s="5" t="s">
        <v>34</v>
      </c>
      <c r="E69" s="6">
        <v>0</v>
      </c>
      <c r="F69" s="7">
        <v>1540</v>
      </c>
      <c r="G69" s="7">
        <f t="shared" si="2"/>
        <v>1540</v>
      </c>
    </row>
    <row r="70" spans="2:7" ht="46.8" x14ac:dyDescent="0.25">
      <c r="B70" s="8"/>
      <c r="C70" s="9" t="s">
        <v>97</v>
      </c>
      <c r="D70" s="5" t="s">
        <v>34</v>
      </c>
      <c r="E70" s="6">
        <v>0</v>
      </c>
      <c r="F70" s="7">
        <v>90</v>
      </c>
      <c r="G70" s="7">
        <f t="shared" si="2"/>
        <v>90</v>
      </c>
    </row>
    <row r="71" spans="2:7" ht="46.8" x14ac:dyDescent="0.25">
      <c r="B71" s="8"/>
      <c r="C71" s="9" t="s">
        <v>98</v>
      </c>
      <c r="D71" s="5" t="s">
        <v>34</v>
      </c>
      <c r="E71" s="6">
        <v>0</v>
      </c>
      <c r="F71" s="7">
        <v>160</v>
      </c>
      <c r="G71" s="7">
        <f t="shared" si="2"/>
        <v>160</v>
      </c>
    </row>
    <row r="72" spans="2:7" ht="46.8" x14ac:dyDescent="0.25">
      <c r="B72" s="8"/>
      <c r="C72" s="9" t="s">
        <v>99</v>
      </c>
      <c r="D72" s="5" t="s">
        <v>34</v>
      </c>
      <c r="E72" s="6">
        <v>0</v>
      </c>
      <c r="F72" s="7">
        <v>290</v>
      </c>
      <c r="G72" s="7">
        <f t="shared" si="2"/>
        <v>290</v>
      </c>
    </row>
    <row r="73" spans="2:7" ht="124.8" x14ac:dyDescent="0.25">
      <c r="B73" s="3" t="s">
        <v>100</v>
      </c>
      <c r="C73" s="4" t="s">
        <v>101</v>
      </c>
      <c r="D73" s="5" t="s">
        <v>34</v>
      </c>
      <c r="E73" s="6">
        <v>0</v>
      </c>
      <c r="F73" s="7">
        <v>300</v>
      </c>
      <c r="G73" s="7">
        <f t="shared" si="2"/>
        <v>300</v>
      </c>
    </row>
    <row r="74" spans="2:7" ht="124.8" x14ac:dyDescent="0.25">
      <c r="B74" s="3" t="s">
        <v>102</v>
      </c>
      <c r="C74" s="4" t="s">
        <v>103</v>
      </c>
      <c r="D74" s="5" t="s">
        <v>34</v>
      </c>
      <c r="E74" s="6">
        <v>0</v>
      </c>
      <c r="F74" s="7">
        <v>170</v>
      </c>
      <c r="G74" s="7">
        <f t="shared" si="2"/>
        <v>170</v>
      </c>
    </row>
    <row r="75" spans="2:7" ht="78" x14ac:dyDescent="0.25">
      <c r="B75" s="3" t="s">
        <v>104</v>
      </c>
      <c r="C75" s="4" t="s">
        <v>105</v>
      </c>
      <c r="D75" s="5" t="s">
        <v>106</v>
      </c>
      <c r="E75" s="6">
        <v>0</v>
      </c>
      <c r="F75" s="7">
        <v>115</v>
      </c>
      <c r="G75" s="7">
        <f t="shared" si="2"/>
        <v>115</v>
      </c>
    </row>
    <row r="76" spans="2:7" ht="15.6" x14ac:dyDescent="0.25">
      <c r="B76" s="21"/>
      <c r="C76" s="22"/>
      <c r="D76" s="23"/>
      <c r="E76" s="24"/>
      <c r="F76" s="24"/>
      <c r="G76" s="25"/>
    </row>
    <row r="77" spans="2:7" ht="78" x14ac:dyDescent="0.25">
      <c r="B77" s="3" t="s">
        <v>107</v>
      </c>
      <c r="C77" s="13" t="s">
        <v>108</v>
      </c>
      <c r="D77" s="10"/>
      <c r="E77" s="6"/>
      <c r="F77" s="6"/>
      <c r="G77" s="7"/>
    </row>
    <row r="78" spans="2:7" ht="34.200000000000003" x14ac:dyDescent="0.25">
      <c r="B78" s="8"/>
      <c r="C78" s="13" t="s">
        <v>109</v>
      </c>
      <c r="D78" s="14" t="s">
        <v>110</v>
      </c>
      <c r="E78" s="6">
        <v>0</v>
      </c>
      <c r="F78" s="11">
        <v>3.25</v>
      </c>
      <c r="G78" s="11">
        <f t="shared" ref="G78:G87" si="3">F78</f>
        <v>3.25</v>
      </c>
    </row>
    <row r="79" spans="2:7" ht="34.200000000000003" x14ac:dyDescent="0.25">
      <c r="B79" s="8"/>
      <c r="C79" s="13" t="s">
        <v>111</v>
      </c>
      <c r="D79" s="14" t="s">
        <v>110</v>
      </c>
      <c r="E79" s="6">
        <v>0</v>
      </c>
      <c r="F79" s="11">
        <v>0.5</v>
      </c>
      <c r="G79" s="11">
        <f t="shared" si="3"/>
        <v>0.5</v>
      </c>
    </row>
    <row r="80" spans="2:7" ht="34.200000000000003" x14ac:dyDescent="0.25">
      <c r="B80" s="8"/>
      <c r="C80" s="13" t="s">
        <v>112</v>
      </c>
      <c r="D80" s="14" t="s">
        <v>110</v>
      </c>
      <c r="E80" s="6">
        <v>0</v>
      </c>
      <c r="F80" s="11">
        <v>4.25</v>
      </c>
      <c r="G80" s="11">
        <f t="shared" si="3"/>
        <v>4.25</v>
      </c>
    </row>
    <row r="81" spans="2:7" ht="34.200000000000003" x14ac:dyDescent="0.25">
      <c r="B81" s="8"/>
      <c r="C81" s="13" t="s">
        <v>113</v>
      </c>
      <c r="D81" s="14" t="s">
        <v>110</v>
      </c>
      <c r="E81" s="6">
        <v>0</v>
      </c>
      <c r="F81" s="11">
        <v>0.9</v>
      </c>
      <c r="G81" s="11">
        <f t="shared" si="3"/>
        <v>0.9</v>
      </c>
    </row>
    <row r="82" spans="2:7" ht="34.200000000000003" x14ac:dyDescent="0.25">
      <c r="B82" s="8"/>
      <c r="C82" s="13" t="s">
        <v>114</v>
      </c>
      <c r="D82" s="14" t="s">
        <v>110</v>
      </c>
      <c r="E82" s="6">
        <v>0</v>
      </c>
      <c r="F82" s="11">
        <v>7.4</v>
      </c>
      <c r="G82" s="11">
        <f t="shared" si="3"/>
        <v>7.4</v>
      </c>
    </row>
    <row r="83" spans="2:7" ht="34.200000000000003" x14ac:dyDescent="0.25">
      <c r="B83" s="8"/>
      <c r="C83" s="13" t="s">
        <v>115</v>
      </c>
      <c r="D83" s="14" t="s">
        <v>110</v>
      </c>
      <c r="E83" s="6">
        <v>0</v>
      </c>
      <c r="F83" s="11">
        <v>1.9</v>
      </c>
      <c r="G83" s="11">
        <f t="shared" si="3"/>
        <v>1.9</v>
      </c>
    </row>
    <row r="84" spans="2:7" ht="34.200000000000003" x14ac:dyDescent="0.25">
      <c r="B84" s="8"/>
      <c r="C84" s="13" t="s">
        <v>116</v>
      </c>
      <c r="D84" s="14" t="s">
        <v>110</v>
      </c>
      <c r="E84" s="6">
        <v>0</v>
      </c>
      <c r="F84" s="11">
        <v>10.75</v>
      </c>
      <c r="G84" s="11">
        <f t="shared" si="3"/>
        <v>10.75</v>
      </c>
    </row>
    <row r="85" spans="2:7" ht="34.200000000000003" x14ac:dyDescent="0.25">
      <c r="B85" s="8"/>
      <c r="C85" s="13" t="s">
        <v>117</v>
      </c>
      <c r="D85" s="14" t="s">
        <v>110</v>
      </c>
      <c r="E85" s="6">
        <v>0</v>
      </c>
      <c r="F85" s="11">
        <v>3.1</v>
      </c>
      <c r="G85" s="11">
        <f t="shared" si="3"/>
        <v>3.1</v>
      </c>
    </row>
    <row r="86" spans="2:7" ht="34.200000000000003" x14ac:dyDescent="0.25">
      <c r="B86" s="8"/>
      <c r="C86" s="13" t="s">
        <v>118</v>
      </c>
      <c r="D86" s="14" t="s">
        <v>110</v>
      </c>
      <c r="E86" s="6">
        <v>0</v>
      </c>
      <c r="F86" s="11">
        <v>12.9</v>
      </c>
      <c r="G86" s="11">
        <f t="shared" si="3"/>
        <v>12.9</v>
      </c>
    </row>
    <row r="87" spans="2:7" ht="34.200000000000003" x14ac:dyDescent="0.25">
      <c r="B87" s="8"/>
      <c r="C87" s="13" t="s">
        <v>119</v>
      </c>
      <c r="D87" s="14" t="s">
        <v>110</v>
      </c>
      <c r="E87" s="6">
        <v>0</v>
      </c>
      <c r="F87" s="11">
        <v>4.4000000000000004</v>
      </c>
      <c r="G87" s="11">
        <f t="shared" si="3"/>
        <v>4.4000000000000004</v>
      </c>
    </row>
    <row r="88" spans="2:7" ht="93.6" x14ac:dyDescent="0.25">
      <c r="B88" s="3" t="s">
        <v>120</v>
      </c>
      <c r="C88" s="4" t="s">
        <v>121</v>
      </c>
      <c r="D88" s="5"/>
      <c r="E88" s="6"/>
      <c r="F88" s="6"/>
      <c r="G88" s="7"/>
    </row>
    <row r="89" spans="2:7" ht="46.8" x14ac:dyDescent="0.25">
      <c r="B89" s="8"/>
      <c r="C89" s="9" t="s">
        <v>122</v>
      </c>
      <c r="D89" s="5" t="s">
        <v>123</v>
      </c>
      <c r="E89" s="6">
        <v>0</v>
      </c>
      <c r="F89" s="6">
        <v>11.8</v>
      </c>
      <c r="G89" s="7">
        <f t="shared" ref="G89:G95" si="4">+F89+E89</f>
        <v>11.8</v>
      </c>
    </row>
    <row r="90" spans="2:7" ht="46.8" x14ac:dyDescent="0.25">
      <c r="B90" s="8"/>
      <c r="C90" s="9" t="s">
        <v>124</v>
      </c>
      <c r="D90" s="5" t="s">
        <v>123</v>
      </c>
      <c r="E90" s="6">
        <v>0</v>
      </c>
      <c r="F90" s="6">
        <v>16</v>
      </c>
      <c r="G90" s="7">
        <f t="shared" si="4"/>
        <v>16</v>
      </c>
    </row>
    <row r="91" spans="2:7" ht="46.8" x14ac:dyDescent="0.25">
      <c r="B91" s="8"/>
      <c r="C91" s="9" t="s">
        <v>125</v>
      </c>
      <c r="D91" s="5" t="s">
        <v>123</v>
      </c>
      <c r="E91" s="6">
        <v>0</v>
      </c>
      <c r="F91" s="6">
        <v>18.100000000000001</v>
      </c>
      <c r="G91" s="7">
        <f t="shared" si="4"/>
        <v>18.100000000000001</v>
      </c>
    </row>
    <row r="92" spans="2:7" ht="46.8" x14ac:dyDescent="0.25">
      <c r="B92" s="8"/>
      <c r="C92" s="9" t="s">
        <v>126</v>
      </c>
      <c r="D92" s="5" t="s">
        <v>123</v>
      </c>
      <c r="E92" s="6">
        <v>0</v>
      </c>
      <c r="F92" s="7">
        <v>21.5</v>
      </c>
      <c r="G92" s="7">
        <f t="shared" si="4"/>
        <v>21.5</v>
      </c>
    </row>
    <row r="93" spans="2:7" ht="46.8" x14ac:dyDescent="0.25">
      <c r="B93" s="8"/>
      <c r="C93" s="9" t="s">
        <v>127</v>
      </c>
      <c r="D93" s="5" t="s">
        <v>123</v>
      </c>
      <c r="E93" s="6">
        <v>0</v>
      </c>
      <c r="F93" s="7">
        <v>30</v>
      </c>
      <c r="G93" s="7">
        <f t="shared" si="4"/>
        <v>30</v>
      </c>
    </row>
    <row r="94" spans="2:7" ht="46.8" x14ac:dyDescent="0.25">
      <c r="B94" s="8"/>
      <c r="C94" s="9" t="s">
        <v>128</v>
      </c>
      <c r="D94" s="5" t="s">
        <v>123</v>
      </c>
      <c r="E94" s="6">
        <v>0</v>
      </c>
      <c r="F94" s="7">
        <v>45.25</v>
      </c>
      <c r="G94" s="7">
        <f t="shared" si="4"/>
        <v>45.25</v>
      </c>
    </row>
    <row r="95" spans="2:7" ht="46.8" x14ac:dyDescent="0.25">
      <c r="B95" s="8"/>
      <c r="C95" s="9" t="s">
        <v>129</v>
      </c>
      <c r="D95" s="5" t="s">
        <v>123</v>
      </c>
      <c r="E95" s="6">
        <v>0</v>
      </c>
      <c r="F95" s="7">
        <v>61.25</v>
      </c>
      <c r="G95" s="7">
        <f t="shared" si="4"/>
        <v>61.25</v>
      </c>
    </row>
    <row r="96" spans="2:7" ht="93.6" x14ac:dyDescent="0.25">
      <c r="B96" s="3" t="s">
        <v>130</v>
      </c>
      <c r="C96" s="4" t="s">
        <v>131</v>
      </c>
      <c r="D96" s="5"/>
      <c r="E96" s="6"/>
      <c r="F96" s="7"/>
      <c r="G96" s="7"/>
    </row>
    <row r="97" spans="2:7" ht="46.8" x14ac:dyDescent="0.25">
      <c r="B97" s="8"/>
      <c r="C97" s="9" t="s">
        <v>132</v>
      </c>
      <c r="D97" s="5" t="s">
        <v>123</v>
      </c>
      <c r="E97" s="6">
        <v>0</v>
      </c>
      <c r="F97" s="7">
        <v>50</v>
      </c>
      <c r="G97" s="7">
        <f t="shared" ref="G97:G100" si="5">+F97+E97</f>
        <v>50</v>
      </c>
    </row>
    <row r="98" spans="2:7" ht="46.8" x14ac:dyDescent="0.25">
      <c r="B98" s="8"/>
      <c r="C98" s="9" t="s">
        <v>133</v>
      </c>
      <c r="D98" s="5" t="s">
        <v>123</v>
      </c>
      <c r="E98" s="6">
        <v>0</v>
      </c>
      <c r="F98" s="7">
        <v>75</v>
      </c>
      <c r="G98" s="7">
        <f t="shared" si="5"/>
        <v>75</v>
      </c>
    </row>
    <row r="99" spans="2:7" ht="46.8" x14ac:dyDescent="0.25">
      <c r="B99" s="8"/>
      <c r="C99" s="9" t="s">
        <v>134</v>
      </c>
      <c r="D99" s="5" t="s">
        <v>123</v>
      </c>
      <c r="E99" s="6">
        <v>0</v>
      </c>
      <c r="F99" s="7">
        <v>93.75</v>
      </c>
      <c r="G99" s="7">
        <f t="shared" si="5"/>
        <v>93.75</v>
      </c>
    </row>
    <row r="100" spans="2:7" ht="46.8" x14ac:dyDescent="0.25">
      <c r="B100" s="8"/>
      <c r="C100" s="13" t="s">
        <v>135</v>
      </c>
      <c r="D100" s="16" t="s">
        <v>123</v>
      </c>
      <c r="E100" s="17">
        <v>0</v>
      </c>
      <c r="F100" s="18">
        <v>43.75</v>
      </c>
      <c r="G100" s="18">
        <f t="shared" si="5"/>
        <v>43.75</v>
      </c>
    </row>
    <row r="101" spans="2:7" ht="156" x14ac:dyDescent="0.25">
      <c r="B101" s="3" t="s">
        <v>136</v>
      </c>
      <c r="C101" s="4" t="s">
        <v>137</v>
      </c>
      <c r="D101" s="5"/>
      <c r="E101" s="6"/>
      <c r="F101" s="6"/>
      <c r="G101" s="7"/>
    </row>
    <row r="102" spans="2:7" ht="46.8" x14ac:dyDescent="0.25">
      <c r="B102" s="8"/>
      <c r="C102" s="9" t="s">
        <v>138</v>
      </c>
      <c r="D102" s="5" t="s">
        <v>139</v>
      </c>
      <c r="E102" s="6">
        <v>0</v>
      </c>
      <c r="F102" s="7">
        <v>140</v>
      </c>
      <c r="G102" s="7">
        <f t="shared" ref="G102:G107" si="6">+E102+F102</f>
        <v>140</v>
      </c>
    </row>
    <row r="103" spans="2:7" ht="46.8" x14ac:dyDescent="0.25">
      <c r="B103" s="8"/>
      <c r="C103" s="9" t="s">
        <v>140</v>
      </c>
      <c r="D103" s="5" t="s">
        <v>139</v>
      </c>
      <c r="E103" s="6">
        <v>0</v>
      </c>
      <c r="F103" s="7">
        <v>175</v>
      </c>
      <c r="G103" s="7">
        <f t="shared" si="6"/>
        <v>175</v>
      </c>
    </row>
    <row r="104" spans="2:7" ht="156" x14ac:dyDescent="0.25">
      <c r="B104" s="3" t="s">
        <v>141</v>
      </c>
      <c r="C104" s="9" t="s">
        <v>142</v>
      </c>
      <c r="D104" s="5"/>
      <c r="E104" s="6"/>
      <c r="F104" s="6"/>
      <c r="G104" s="7"/>
    </row>
    <row r="105" spans="2:7" ht="46.8" x14ac:dyDescent="0.25">
      <c r="B105" s="8"/>
      <c r="C105" s="9" t="s">
        <v>143</v>
      </c>
      <c r="D105" s="5" t="s">
        <v>139</v>
      </c>
      <c r="E105" s="6">
        <v>0</v>
      </c>
      <c r="F105" s="7">
        <v>160</v>
      </c>
      <c r="G105" s="7">
        <f t="shared" si="6"/>
        <v>160</v>
      </c>
    </row>
    <row r="106" spans="2:7" ht="46.8" x14ac:dyDescent="0.25">
      <c r="B106" s="8"/>
      <c r="C106" s="9" t="s">
        <v>144</v>
      </c>
      <c r="D106" s="5" t="s">
        <v>139</v>
      </c>
      <c r="E106" s="6">
        <v>0</v>
      </c>
      <c r="F106" s="7">
        <v>190</v>
      </c>
      <c r="G106" s="7">
        <f t="shared" si="6"/>
        <v>190</v>
      </c>
    </row>
    <row r="107" spans="2:7" ht="46.8" x14ac:dyDescent="0.25">
      <c r="B107" s="8"/>
      <c r="C107" s="9" t="s">
        <v>145</v>
      </c>
      <c r="D107" s="5" t="s">
        <v>139</v>
      </c>
      <c r="E107" s="6">
        <v>0</v>
      </c>
      <c r="F107" s="7">
        <v>245</v>
      </c>
      <c r="G107" s="7">
        <f t="shared" si="6"/>
        <v>245</v>
      </c>
    </row>
    <row r="108" spans="2:7" ht="140.4" x14ac:dyDescent="0.25">
      <c r="B108" s="3" t="s">
        <v>146</v>
      </c>
      <c r="C108" s="4" t="s">
        <v>147</v>
      </c>
      <c r="D108" s="5"/>
      <c r="E108" s="6"/>
      <c r="F108" s="6"/>
      <c r="G108" s="7"/>
    </row>
    <row r="109" spans="2:7" ht="46.8" x14ac:dyDescent="0.25">
      <c r="B109" s="8"/>
      <c r="C109" s="9" t="s">
        <v>148</v>
      </c>
      <c r="D109" s="5" t="s">
        <v>139</v>
      </c>
      <c r="E109" s="6">
        <v>0</v>
      </c>
      <c r="F109" s="7">
        <v>125</v>
      </c>
      <c r="G109" s="7">
        <f t="shared" ref="G109:G117" si="7">+E109+F109</f>
        <v>125</v>
      </c>
    </row>
    <row r="110" spans="2:7" ht="46.8" x14ac:dyDescent="0.25">
      <c r="B110" s="8"/>
      <c r="C110" s="9" t="s">
        <v>149</v>
      </c>
      <c r="D110" s="5" t="s">
        <v>139</v>
      </c>
      <c r="E110" s="6">
        <v>0</v>
      </c>
      <c r="F110" s="7">
        <v>160</v>
      </c>
      <c r="G110" s="7">
        <f t="shared" si="7"/>
        <v>160</v>
      </c>
    </row>
    <row r="111" spans="2:7" ht="46.8" x14ac:dyDescent="0.25">
      <c r="B111" s="8"/>
      <c r="C111" s="9" t="s">
        <v>150</v>
      </c>
      <c r="D111" s="5" t="s">
        <v>139</v>
      </c>
      <c r="E111" s="6">
        <v>0</v>
      </c>
      <c r="F111" s="7">
        <v>250</v>
      </c>
      <c r="G111" s="7">
        <f t="shared" si="7"/>
        <v>250</v>
      </c>
    </row>
    <row r="112" spans="2:7" ht="46.8" x14ac:dyDescent="0.25">
      <c r="B112" s="8"/>
      <c r="C112" s="9" t="s">
        <v>151</v>
      </c>
      <c r="D112" s="5" t="s">
        <v>139</v>
      </c>
      <c r="E112" s="6">
        <v>0</v>
      </c>
      <c r="F112" s="7">
        <v>350</v>
      </c>
      <c r="G112" s="7">
        <f t="shared" si="7"/>
        <v>350</v>
      </c>
    </row>
    <row r="113" spans="2:7" ht="46.8" x14ac:dyDescent="0.25">
      <c r="B113" s="8"/>
      <c r="C113" s="9" t="s">
        <v>152</v>
      </c>
      <c r="D113" s="5" t="s">
        <v>139</v>
      </c>
      <c r="E113" s="6">
        <v>0</v>
      </c>
      <c r="F113" s="7">
        <v>450</v>
      </c>
      <c r="G113" s="7">
        <f t="shared" si="7"/>
        <v>450</v>
      </c>
    </row>
    <row r="114" spans="2:7" ht="46.8" x14ac:dyDescent="0.25">
      <c r="B114" s="8"/>
      <c r="C114" s="9" t="s">
        <v>153</v>
      </c>
      <c r="D114" s="5" t="s">
        <v>139</v>
      </c>
      <c r="E114" s="6">
        <v>0</v>
      </c>
      <c r="F114" s="7">
        <v>500</v>
      </c>
      <c r="G114" s="7">
        <f t="shared" si="7"/>
        <v>500</v>
      </c>
    </row>
    <row r="115" spans="2:7" ht="46.8" x14ac:dyDescent="0.25">
      <c r="B115" s="8"/>
      <c r="C115" s="9" t="s">
        <v>154</v>
      </c>
      <c r="D115" s="5" t="s">
        <v>139</v>
      </c>
      <c r="E115" s="6">
        <v>0</v>
      </c>
      <c r="F115" s="7">
        <v>650</v>
      </c>
      <c r="G115" s="7">
        <f t="shared" si="7"/>
        <v>650</v>
      </c>
    </row>
    <row r="116" spans="2:7" ht="46.8" x14ac:dyDescent="0.25">
      <c r="B116" s="8"/>
      <c r="C116" s="9" t="s">
        <v>155</v>
      </c>
      <c r="D116" s="5" t="s">
        <v>139</v>
      </c>
      <c r="E116" s="6">
        <v>0</v>
      </c>
      <c r="F116" s="7">
        <v>990</v>
      </c>
      <c r="G116" s="7">
        <f t="shared" si="7"/>
        <v>990</v>
      </c>
    </row>
    <row r="117" spans="2:7" ht="46.8" x14ac:dyDescent="0.25">
      <c r="B117" s="8"/>
      <c r="C117" s="9" t="s">
        <v>156</v>
      </c>
      <c r="D117" s="5" t="s">
        <v>139</v>
      </c>
      <c r="E117" s="6">
        <v>0</v>
      </c>
      <c r="F117" s="7">
        <v>1150</v>
      </c>
      <c r="G117" s="7">
        <f t="shared" si="7"/>
        <v>1150</v>
      </c>
    </row>
    <row r="118" spans="2:7" ht="109.2" x14ac:dyDescent="0.25">
      <c r="B118" s="3" t="s">
        <v>157</v>
      </c>
      <c r="C118" s="4" t="s">
        <v>158</v>
      </c>
      <c r="D118" s="5"/>
      <c r="E118" s="6"/>
      <c r="F118" s="6"/>
      <c r="G118" s="7"/>
    </row>
    <row r="119" spans="2:7" ht="46.8" x14ac:dyDescent="0.25">
      <c r="B119" s="8"/>
      <c r="C119" s="9" t="s">
        <v>159</v>
      </c>
      <c r="D119" s="5" t="s">
        <v>139</v>
      </c>
      <c r="E119" s="6">
        <v>0</v>
      </c>
      <c r="F119" s="7">
        <v>130</v>
      </c>
      <c r="G119" s="7">
        <f t="shared" ref="G119:G126" si="8">+E119+F119</f>
        <v>130</v>
      </c>
    </row>
    <row r="120" spans="2:7" ht="46.8" x14ac:dyDescent="0.25">
      <c r="B120" s="8"/>
      <c r="C120" s="9" t="s">
        <v>160</v>
      </c>
      <c r="D120" s="5" t="s">
        <v>139</v>
      </c>
      <c r="E120" s="6">
        <v>0</v>
      </c>
      <c r="F120" s="7">
        <v>180</v>
      </c>
      <c r="G120" s="7">
        <f t="shared" si="8"/>
        <v>180</v>
      </c>
    </row>
    <row r="121" spans="2:7" ht="46.8" x14ac:dyDescent="0.25">
      <c r="B121" s="8"/>
      <c r="C121" s="9" t="s">
        <v>161</v>
      </c>
      <c r="D121" s="5" t="s">
        <v>139</v>
      </c>
      <c r="E121" s="6">
        <v>0</v>
      </c>
      <c r="F121" s="7">
        <v>300</v>
      </c>
      <c r="G121" s="7">
        <f t="shared" si="8"/>
        <v>300</v>
      </c>
    </row>
    <row r="122" spans="2:7" ht="46.8" x14ac:dyDescent="0.25">
      <c r="B122" s="8"/>
      <c r="C122" s="9" t="s">
        <v>162</v>
      </c>
      <c r="D122" s="5" t="s">
        <v>139</v>
      </c>
      <c r="E122" s="6">
        <v>0</v>
      </c>
      <c r="F122" s="7">
        <v>400</v>
      </c>
      <c r="G122" s="7">
        <f t="shared" si="8"/>
        <v>400</v>
      </c>
    </row>
    <row r="123" spans="2:7" ht="46.8" x14ac:dyDescent="0.25">
      <c r="B123" s="8"/>
      <c r="C123" s="9" t="s">
        <v>163</v>
      </c>
      <c r="D123" s="5" t="s">
        <v>139</v>
      </c>
      <c r="E123" s="6">
        <v>0</v>
      </c>
      <c r="F123" s="7">
        <v>600</v>
      </c>
      <c r="G123" s="7">
        <f t="shared" si="8"/>
        <v>600</v>
      </c>
    </row>
    <row r="124" spans="2:7" ht="46.8" x14ac:dyDescent="0.25">
      <c r="B124" s="8"/>
      <c r="C124" s="9" t="s">
        <v>164</v>
      </c>
      <c r="D124" s="5" t="s">
        <v>139</v>
      </c>
      <c r="E124" s="6">
        <v>0</v>
      </c>
      <c r="F124" s="7">
        <v>750</v>
      </c>
      <c r="G124" s="7">
        <f t="shared" si="8"/>
        <v>750</v>
      </c>
    </row>
    <row r="125" spans="2:7" ht="46.8" x14ac:dyDescent="0.25">
      <c r="B125" s="8"/>
      <c r="C125" s="9" t="s">
        <v>165</v>
      </c>
      <c r="D125" s="5" t="s">
        <v>139</v>
      </c>
      <c r="E125" s="6">
        <v>0</v>
      </c>
      <c r="F125" s="7">
        <v>1100</v>
      </c>
      <c r="G125" s="7">
        <f t="shared" si="8"/>
        <v>1100</v>
      </c>
    </row>
    <row r="126" spans="2:7" ht="46.8" x14ac:dyDescent="0.25">
      <c r="B126" s="8"/>
      <c r="C126" s="9" t="s">
        <v>166</v>
      </c>
      <c r="D126" s="5" t="s">
        <v>139</v>
      </c>
      <c r="E126" s="6">
        <v>0</v>
      </c>
      <c r="F126" s="7">
        <v>1250</v>
      </c>
      <c r="G126" s="7">
        <f t="shared" si="8"/>
        <v>1250</v>
      </c>
    </row>
    <row r="127" spans="2:7" ht="331.2" x14ac:dyDescent="0.25">
      <c r="B127" s="26" t="s">
        <v>167</v>
      </c>
      <c r="C127" s="27" t="s">
        <v>168</v>
      </c>
      <c r="D127" s="5" t="s">
        <v>139</v>
      </c>
      <c r="E127" s="6"/>
      <c r="F127" s="6"/>
      <c r="G127" s="7"/>
    </row>
    <row r="128" spans="2:7" ht="109.2" x14ac:dyDescent="0.25">
      <c r="B128" s="8" t="s">
        <v>169</v>
      </c>
      <c r="C128" s="4" t="s">
        <v>170</v>
      </c>
      <c r="D128" s="5" t="s">
        <v>139</v>
      </c>
      <c r="E128" s="6"/>
      <c r="F128" s="6">
        <v>22000</v>
      </c>
      <c r="G128" s="7">
        <v>22000</v>
      </c>
    </row>
    <row r="129" spans="2:7" ht="124.8" x14ac:dyDescent="0.25">
      <c r="B129" s="8" t="s">
        <v>171</v>
      </c>
      <c r="C129" s="4" t="s">
        <v>172</v>
      </c>
      <c r="D129" s="5" t="s">
        <v>139</v>
      </c>
      <c r="E129" s="6"/>
      <c r="F129" s="6">
        <v>12000</v>
      </c>
      <c r="G129" s="7">
        <v>12000</v>
      </c>
    </row>
    <row r="130" spans="2:7" ht="93.6" x14ac:dyDescent="0.25">
      <c r="B130" s="28" t="s">
        <v>173</v>
      </c>
      <c r="C130" s="29" t="s">
        <v>174</v>
      </c>
      <c r="D130" s="30" t="s">
        <v>139</v>
      </c>
      <c r="E130" s="31"/>
      <c r="F130" s="32">
        <v>8000</v>
      </c>
      <c r="G130" s="33">
        <f>+F130</f>
        <v>8000</v>
      </c>
    </row>
    <row r="131" spans="2:7" ht="62.4" x14ac:dyDescent="0.25">
      <c r="B131" s="26" t="s">
        <v>175</v>
      </c>
      <c r="C131" s="34" t="s">
        <v>176</v>
      </c>
      <c r="D131" s="5" t="s">
        <v>139</v>
      </c>
      <c r="E131" s="6"/>
      <c r="F131" s="6">
        <f>6290*1.01*10%+250</f>
        <v>885.29</v>
      </c>
      <c r="G131" s="7">
        <f t="shared" ref="G131:G136" si="9">F131</f>
        <v>885.29</v>
      </c>
    </row>
    <row r="132" spans="2:7" ht="62.4" x14ac:dyDescent="0.25">
      <c r="B132" s="26" t="s">
        <v>177</v>
      </c>
      <c r="C132" s="34" t="s">
        <v>178</v>
      </c>
      <c r="D132" s="5" t="s">
        <v>139</v>
      </c>
      <c r="E132" s="6"/>
      <c r="F132" s="6">
        <f>16500*1.01*10%+250</f>
        <v>1916.5</v>
      </c>
      <c r="G132" s="7">
        <f t="shared" si="9"/>
        <v>1916.5</v>
      </c>
    </row>
    <row r="133" spans="2:7" ht="22.8" x14ac:dyDescent="0.25">
      <c r="B133" s="175" t="s">
        <v>179</v>
      </c>
      <c r="C133" s="175"/>
      <c r="D133" s="175"/>
      <c r="E133" s="175"/>
      <c r="F133" s="175"/>
      <c r="G133" s="175"/>
    </row>
    <row r="134" spans="2:7" ht="78" x14ac:dyDescent="0.25">
      <c r="B134" s="3" t="s">
        <v>180</v>
      </c>
      <c r="C134" s="4" t="s">
        <v>181</v>
      </c>
      <c r="D134" s="5" t="s">
        <v>182</v>
      </c>
      <c r="E134" s="6">
        <v>0</v>
      </c>
      <c r="F134" s="6">
        <v>2300</v>
      </c>
      <c r="G134" s="7">
        <v>2300</v>
      </c>
    </row>
    <row r="135" spans="2:7" ht="78" x14ac:dyDescent="0.25">
      <c r="B135" s="3" t="s">
        <v>183</v>
      </c>
      <c r="C135" s="35" t="s">
        <v>184</v>
      </c>
      <c r="D135" s="5" t="s">
        <v>185</v>
      </c>
      <c r="E135" s="6">
        <v>0</v>
      </c>
      <c r="F135" s="6">
        <v>325</v>
      </c>
      <c r="G135" s="7">
        <v>325</v>
      </c>
    </row>
    <row r="136" spans="2:7" ht="78" x14ac:dyDescent="0.25">
      <c r="B136" s="3" t="s">
        <v>186</v>
      </c>
      <c r="C136" s="4" t="s">
        <v>187</v>
      </c>
      <c r="D136" s="5" t="s">
        <v>188</v>
      </c>
      <c r="E136" s="6">
        <v>0</v>
      </c>
      <c r="F136" s="6">
        <v>815</v>
      </c>
      <c r="G136" s="7">
        <f t="shared" si="9"/>
        <v>815</v>
      </c>
    </row>
    <row r="137" spans="2:7" ht="109.2" x14ac:dyDescent="0.25">
      <c r="B137" s="3" t="s">
        <v>189</v>
      </c>
      <c r="C137" s="4" t="s">
        <v>190</v>
      </c>
      <c r="D137" s="5" t="s">
        <v>106</v>
      </c>
      <c r="E137" s="6">
        <v>0</v>
      </c>
      <c r="F137" s="6">
        <v>690</v>
      </c>
      <c r="G137" s="7">
        <v>687.5</v>
      </c>
    </row>
    <row r="138" spans="2:7" ht="109.2" x14ac:dyDescent="0.25">
      <c r="B138" s="3" t="s">
        <v>191</v>
      </c>
      <c r="C138" s="4" t="s">
        <v>192</v>
      </c>
      <c r="D138" s="5" t="s">
        <v>188</v>
      </c>
      <c r="E138" s="6">
        <v>0</v>
      </c>
      <c r="F138" s="6">
        <v>1900</v>
      </c>
      <c r="G138" s="7">
        <v>1900</v>
      </c>
    </row>
    <row r="139" spans="2:7" ht="93.6" x14ac:dyDescent="0.25">
      <c r="B139" s="3" t="s">
        <v>193</v>
      </c>
      <c r="C139" s="4" t="s">
        <v>194</v>
      </c>
      <c r="D139" s="5" t="s">
        <v>188</v>
      </c>
      <c r="E139" s="6">
        <v>0</v>
      </c>
      <c r="F139" s="6">
        <v>3500</v>
      </c>
      <c r="G139" s="7">
        <f>+F139</f>
        <v>3500</v>
      </c>
    </row>
    <row r="140" spans="2:7" ht="109.2" x14ac:dyDescent="0.25">
      <c r="B140" s="3" t="s">
        <v>195</v>
      </c>
      <c r="C140" s="4" t="s">
        <v>196</v>
      </c>
      <c r="D140" s="5" t="s">
        <v>188</v>
      </c>
      <c r="E140" s="6">
        <v>0</v>
      </c>
      <c r="F140" s="6">
        <v>7000</v>
      </c>
      <c r="G140" s="7">
        <f>+F140</f>
        <v>7000</v>
      </c>
    </row>
    <row r="141" spans="2:7" ht="62.4" x14ac:dyDescent="0.25">
      <c r="B141" s="3" t="s">
        <v>197</v>
      </c>
      <c r="C141" s="4" t="s">
        <v>198</v>
      </c>
      <c r="D141" s="5" t="s">
        <v>188</v>
      </c>
      <c r="E141" s="6">
        <v>0</v>
      </c>
      <c r="F141" s="7">
        <v>940</v>
      </c>
      <c r="G141" s="7">
        <f t="shared" ref="G141:G143" si="10">F141</f>
        <v>940</v>
      </c>
    </row>
    <row r="142" spans="2:7" ht="62.4" x14ac:dyDescent="0.25">
      <c r="B142" s="3" t="s">
        <v>199</v>
      </c>
      <c r="C142" s="4" t="s">
        <v>200</v>
      </c>
      <c r="D142" s="5" t="s">
        <v>188</v>
      </c>
      <c r="E142" s="6">
        <v>0</v>
      </c>
      <c r="F142" s="7">
        <v>1190</v>
      </c>
      <c r="G142" s="7">
        <f t="shared" si="10"/>
        <v>1190</v>
      </c>
    </row>
    <row r="143" spans="2:7" ht="62.4" x14ac:dyDescent="0.25">
      <c r="B143" s="3" t="s">
        <v>201</v>
      </c>
      <c r="C143" s="4" t="s">
        <v>202</v>
      </c>
      <c r="D143" s="5" t="s">
        <v>188</v>
      </c>
      <c r="E143" s="6">
        <v>0</v>
      </c>
      <c r="F143" s="6">
        <v>1375</v>
      </c>
      <c r="G143" s="7">
        <f t="shared" si="10"/>
        <v>1375</v>
      </c>
    </row>
    <row r="144" spans="2:7" ht="78" x14ac:dyDescent="0.25">
      <c r="B144" s="3" t="s">
        <v>203</v>
      </c>
      <c r="C144" s="4" t="s">
        <v>204</v>
      </c>
      <c r="D144" s="5" t="s">
        <v>188</v>
      </c>
      <c r="E144" s="6">
        <v>0</v>
      </c>
      <c r="F144" s="6">
        <f>+G144</f>
        <v>1100</v>
      </c>
      <c r="G144" s="7">
        <v>1100</v>
      </c>
    </row>
    <row r="145" spans="2:7" ht="109.2" x14ac:dyDescent="0.25">
      <c r="B145" s="26" t="s">
        <v>205</v>
      </c>
      <c r="C145" s="4" t="s">
        <v>206</v>
      </c>
      <c r="D145" s="5" t="s">
        <v>207</v>
      </c>
      <c r="E145" s="6">
        <v>0</v>
      </c>
      <c r="F145" s="6">
        <v>13</v>
      </c>
      <c r="G145" s="7">
        <f t="shared" ref="G145:G147" si="11">F145</f>
        <v>13</v>
      </c>
    </row>
    <row r="146" spans="2:7" ht="93.6" x14ac:dyDescent="0.25">
      <c r="B146" s="8" t="s">
        <v>208</v>
      </c>
      <c r="C146" s="4" t="s">
        <v>209</v>
      </c>
      <c r="D146" s="5" t="s">
        <v>207</v>
      </c>
      <c r="E146" s="6"/>
      <c r="F146" s="6">
        <v>3</v>
      </c>
      <c r="G146" s="7">
        <f t="shared" si="11"/>
        <v>3</v>
      </c>
    </row>
    <row r="147" spans="2:7" ht="78" x14ac:dyDescent="0.25">
      <c r="B147" s="26" t="s">
        <v>210</v>
      </c>
      <c r="C147" s="4" t="s">
        <v>211</v>
      </c>
      <c r="D147" s="5" t="s">
        <v>188</v>
      </c>
      <c r="E147" s="6"/>
      <c r="F147" s="6">
        <v>15000</v>
      </c>
      <c r="G147" s="7">
        <f t="shared" si="11"/>
        <v>15000</v>
      </c>
    </row>
    <row r="148" spans="2:7" ht="296.39999999999998" x14ac:dyDescent="0.25">
      <c r="B148" s="28" t="s">
        <v>212</v>
      </c>
      <c r="C148" s="36" t="s">
        <v>213</v>
      </c>
      <c r="D148" s="5" t="s">
        <v>188</v>
      </c>
      <c r="E148" s="37"/>
      <c r="F148" s="37">
        <v>1162</v>
      </c>
      <c r="G148" s="38">
        <v>1162</v>
      </c>
    </row>
    <row r="149" spans="2:7" ht="46.8" x14ac:dyDescent="0.25">
      <c r="B149" s="28" t="s">
        <v>214</v>
      </c>
      <c r="C149" s="39" t="s">
        <v>215</v>
      </c>
      <c r="D149" s="5" t="s">
        <v>188</v>
      </c>
      <c r="E149" s="37"/>
      <c r="F149" s="37">
        <v>780</v>
      </c>
      <c r="G149" s="38">
        <f>F149</f>
        <v>780</v>
      </c>
    </row>
    <row r="150" spans="2:7" ht="46.8" x14ac:dyDescent="0.25">
      <c r="B150" s="28" t="s">
        <v>216</v>
      </c>
      <c r="C150" s="39" t="s">
        <v>217</v>
      </c>
      <c r="D150" s="5" t="s">
        <v>188</v>
      </c>
      <c r="E150" s="37"/>
      <c r="F150" s="37">
        <v>655</v>
      </c>
      <c r="G150" s="38">
        <v>655</v>
      </c>
    </row>
    <row r="151" spans="2:7" ht="249.6" x14ac:dyDescent="0.25">
      <c r="B151" s="28" t="s">
        <v>218</v>
      </c>
      <c r="C151" s="4" t="s">
        <v>219</v>
      </c>
      <c r="D151" s="5" t="s">
        <v>188</v>
      </c>
      <c r="E151" s="6"/>
      <c r="F151" s="7">
        <v>750</v>
      </c>
      <c r="G151" s="7">
        <f>+F151</f>
        <v>750</v>
      </c>
    </row>
    <row r="152" spans="2:7" ht="78" x14ac:dyDescent="0.25">
      <c r="B152" s="28" t="s">
        <v>220</v>
      </c>
      <c r="C152" s="13" t="s">
        <v>221</v>
      </c>
      <c r="D152" s="5" t="s">
        <v>188</v>
      </c>
      <c r="E152" s="17">
        <v>0</v>
      </c>
      <c r="F152" s="17">
        <v>2250</v>
      </c>
      <c r="G152" s="17">
        <v>2250</v>
      </c>
    </row>
    <row r="153" spans="2:7" ht="22.8" x14ac:dyDescent="0.25">
      <c r="B153" s="175" t="s">
        <v>222</v>
      </c>
      <c r="C153" s="175"/>
      <c r="D153" s="175"/>
      <c r="E153" s="175"/>
      <c r="F153" s="175"/>
      <c r="G153" s="175"/>
    </row>
    <row r="154" spans="2:7" ht="78" x14ac:dyDescent="0.25">
      <c r="B154" s="40" t="s">
        <v>223</v>
      </c>
      <c r="C154" s="4" t="s">
        <v>224</v>
      </c>
      <c r="D154" s="8"/>
      <c r="E154" s="6"/>
      <c r="F154" s="41"/>
      <c r="G154" s="7"/>
    </row>
    <row r="155" spans="2:7" ht="46.8" x14ac:dyDescent="0.25">
      <c r="B155" s="8"/>
      <c r="C155" s="9" t="s">
        <v>225</v>
      </c>
      <c r="D155" s="8" t="s">
        <v>42</v>
      </c>
      <c r="E155" s="6">
        <v>0</v>
      </c>
      <c r="F155" s="7">
        <v>1090</v>
      </c>
      <c r="G155" s="7">
        <v>1090</v>
      </c>
    </row>
    <row r="156" spans="2:7" ht="46.8" x14ac:dyDescent="0.25">
      <c r="B156" s="8"/>
      <c r="C156" s="9" t="s">
        <v>226</v>
      </c>
      <c r="D156" s="8" t="s">
        <v>42</v>
      </c>
      <c r="E156" s="6">
        <v>0</v>
      </c>
      <c r="F156" s="7">
        <v>4700</v>
      </c>
      <c r="G156" s="7">
        <v>4700</v>
      </c>
    </row>
    <row r="157" spans="2:7" ht="93.6" x14ac:dyDescent="0.25">
      <c r="B157" s="3" t="s">
        <v>227</v>
      </c>
      <c r="C157" s="4" t="s">
        <v>228</v>
      </c>
      <c r="D157" s="8"/>
      <c r="E157" s="6"/>
      <c r="F157" s="7"/>
      <c r="G157" s="7"/>
    </row>
    <row r="158" spans="2:7" ht="46.8" x14ac:dyDescent="0.25">
      <c r="B158" s="8"/>
      <c r="C158" s="9" t="s">
        <v>229</v>
      </c>
      <c r="D158" s="8" t="s">
        <v>42</v>
      </c>
      <c r="E158" s="6">
        <v>0</v>
      </c>
      <c r="F158" s="7">
        <v>4700</v>
      </c>
      <c r="G158" s="7">
        <v>4700</v>
      </c>
    </row>
    <row r="159" spans="2:7" ht="46.8" x14ac:dyDescent="0.25">
      <c r="B159" s="8"/>
      <c r="C159" s="42" t="s">
        <v>230</v>
      </c>
      <c r="D159" s="8" t="s">
        <v>42</v>
      </c>
      <c r="E159" s="6">
        <v>0</v>
      </c>
      <c r="F159" s="7">
        <v>5150</v>
      </c>
      <c r="G159" s="7">
        <v>5150</v>
      </c>
    </row>
    <row r="160" spans="2:7" ht="46.8" x14ac:dyDescent="0.25">
      <c r="B160" s="8"/>
      <c r="C160" s="42" t="s">
        <v>231</v>
      </c>
      <c r="D160" s="8" t="s">
        <v>42</v>
      </c>
      <c r="E160" s="6">
        <v>0</v>
      </c>
      <c r="F160" s="7">
        <v>7500</v>
      </c>
      <c r="G160" s="7">
        <v>7500</v>
      </c>
    </row>
    <row r="161" spans="2:7" ht="46.8" x14ac:dyDescent="0.25">
      <c r="B161" s="8"/>
      <c r="C161" s="42" t="s">
        <v>232</v>
      </c>
      <c r="D161" s="8" t="s">
        <v>42</v>
      </c>
      <c r="E161" s="6">
        <v>0</v>
      </c>
      <c r="F161" s="7">
        <v>9000</v>
      </c>
      <c r="G161" s="7">
        <v>9000</v>
      </c>
    </row>
    <row r="162" spans="2:7" ht="46.8" x14ac:dyDescent="0.25">
      <c r="B162" s="8"/>
      <c r="C162" s="42" t="s">
        <v>233</v>
      </c>
      <c r="D162" s="8" t="s">
        <v>42</v>
      </c>
      <c r="E162" s="6">
        <v>0</v>
      </c>
      <c r="F162" s="7">
        <v>18000</v>
      </c>
      <c r="G162" s="7">
        <v>18000</v>
      </c>
    </row>
    <row r="163" spans="2:7" ht="46.8" x14ac:dyDescent="0.25">
      <c r="B163" s="8"/>
      <c r="C163" s="42" t="s">
        <v>234</v>
      </c>
      <c r="D163" s="8" t="s">
        <v>42</v>
      </c>
      <c r="E163" s="6">
        <v>0</v>
      </c>
      <c r="F163" s="7">
        <v>24000</v>
      </c>
      <c r="G163" s="7">
        <v>24000</v>
      </c>
    </row>
    <row r="164" spans="2:7" ht="46.8" x14ac:dyDescent="0.25">
      <c r="B164" s="8"/>
      <c r="C164" s="42" t="s">
        <v>235</v>
      </c>
      <c r="D164" s="8" t="s">
        <v>42</v>
      </c>
      <c r="E164" s="6">
        <v>0</v>
      </c>
      <c r="F164" s="7">
        <v>38000</v>
      </c>
      <c r="G164" s="7">
        <v>38000</v>
      </c>
    </row>
    <row r="165" spans="2:7" ht="93.6" x14ac:dyDescent="0.25">
      <c r="B165" s="43" t="s">
        <v>236</v>
      </c>
      <c r="C165" s="4" t="s">
        <v>237</v>
      </c>
      <c r="D165" s="8"/>
      <c r="E165" s="44"/>
      <c r="F165" s="44"/>
      <c r="G165" s="44"/>
    </row>
    <row r="166" spans="2:7" ht="31.2" x14ac:dyDescent="0.25">
      <c r="B166" s="45"/>
      <c r="C166" s="9" t="s">
        <v>238</v>
      </c>
      <c r="D166" s="8" t="s">
        <v>239</v>
      </c>
      <c r="E166" s="44">
        <v>0</v>
      </c>
      <c r="F166" s="44">
        <f>21*1.25</f>
        <v>26.25</v>
      </c>
      <c r="G166" s="44">
        <f>F166</f>
        <v>26.25</v>
      </c>
    </row>
    <row r="167" spans="2:7" ht="15.6" x14ac:dyDescent="0.25">
      <c r="B167" s="41"/>
      <c r="C167" s="42" t="s">
        <v>240</v>
      </c>
      <c r="D167" s="46" t="s">
        <v>239</v>
      </c>
      <c r="E167" s="47">
        <v>0</v>
      </c>
      <c r="F167" s="47">
        <f>33*1.25</f>
        <v>41.25</v>
      </c>
      <c r="G167" s="44">
        <f>F167</f>
        <v>41.25</v>
      </c>
    </row>
    <row r="168" spans="2:7" ht="22.8" x14ac:dyDescent="0.25">
      <c r="B168" s="175" t="s">
        <v>241</v>
      </c>
      <c r="C168" s="175"/>
      <c r="D168" s="175"/>
      <c r="E168" s="175"/>
      <c r="F168" s="175"/>
      <c r="G168" s="175"/>
    </row>
    <row r="169" spans="2:7" ht="202.8" x14ac:dyDescent="0.25">
      <c r="B169" s="21" t="s">
        <v>242</v>
      </c>
      <c r="C169" s="4" t="s">
        <v>243</v>
      </c>
      <c r="D169" s="10"/>
      <c r="E169" s="6"/>
      <c r="F169" s="6"/>
      <c r="G169" s="7"/>
    </row>
    <row r="170" spans="2:7" ht="41.4" x14ac:dyDescent="0.25">
      <c r="B170" s="21" t="s">
        <v>244</v>
      </c>
      <c r="C170" s="9" t="s">
        <v>245</v>
      </c>
      <c r="D170" s="10" t="s">
        <v>246</v>
      </c>
      <c r="E170" s="6">
        <v>0</v>
      </c>
      <c r="F170" s="6">
        <v>625</v>
      </c>
      <c r="G170" s="7">
        <v>625</v>
      </c>
    </row>
    <row r="171" spans="2:7" ht="41.4" x14ac:dyDescent="0.25">
      <c r="B171" s="21" t="s">
        <v>247</v>
      </c>
      <c r="C171" s="9" t="s">
        <v>248</v>
      </c>
      <c r="D171" s="10" t="s">
        <v>246</v>
      </c>
      <c r="E171" s="6">
        <v>0</v>
      </c>
      <c r="F171" s="6">
        <v>550</v>
      </c>
      <c r="G171" s="7">
        <v>550</v>
      </c>
    </row>
    <row r="172" spans="2:7" ht="202.8" x14ac:dyDescent="0.25">
      <c r="B172" s="21" t="s">
        <v>249</v>
      </c>
      <c r="C172" s="4" t="s">
        <v>250</v>
      </c>
      <c r="D172" s="10"/>
      <c r="E172" s="6"/>
      <c r="F172" s="6"/>
      <c r="G172" s="7"/>
    </row>
    <row r="173" spans="2:7" ht="41.4" x14ac:dyDescent="0.25">
      <c r="B173" s="21" t="s">
        <v>251</v>
      </c>
      <c r="C173" s="9" t="s">
        <v>245</v>
      </c>
      <c r="D173" s="10" t="s">
        <v>246</v>
      </c>
      <c r="E173" s="6">
        <v>0</v>
      </c>
      <c r="F173" s="6">
        <v>575</v>
      </c>
      <c r="G173" s="7">
        <v>575</v>
      </c>
    </row>
    <row r="174" spans="2:7" ht="41.4" x14ac:dyDescent="0.25">
      <c r="B174" s="21" t="s">
        <v>252</v>
      </c>
      <c r="C174" s="9" t="s">
        <v>248</v>
      </c>
      <c r="D174" s="10" t="s">
        <v>246</v>
      </c>
      <c r="E174" s="6">
        <v>0</v>
      </c>
      <c r="F174" s="6">
        <v>500</v>
      </c>
      <c r="G174" s="7">
        <v>500</v>
      </c>
    </row>
    <row r="175" spans="2:7" ht="109.2" x14ac:dyDescent="0.25">
      <c r="B175" s="21" t="s">
        <v>253</v>
      </c>
      <c r="C175" s="4" t="s">
        <v>254</v>
      </c>
      <c r="D175" s="10" t="s">
        <v>255</v>
      </c>
      <c r="E175" s="6">
        <v>0</v>
      </c>
      <c r="F175" s="6">
        <v>1000</v>
      </c>
      <c r="G175" s="7">
        <v>1000</v>
      </c>
    </row>
    <row r="176" spans="2:7" ht="109.2" x14ac:dyDescent="0.25">
      <c r="B176" s="21" t="s">
        <v>256</v>
      </c>
      <c r="C176" s="4" t="s">
        <v>257</v>
      </c>
      <c r="D176" s="10" t="s">
        <v>258</v>
      </c>
      <c r="E176" s="6">
        <v>0</v>
      </c>
      <c r="F176" s="6">
        <v>20200</v>
      </c>
      <c r="G176" s="7">
        <v>20200</v>
      </c>
    </row>
    <row r="177" spans="2:7" ht="78" x14ac:dyDescent="0.25">
      <c r="B177" s="21" t="s">
        <v>259</v>
      </c>
      <c r="C177" s="4" t="s">
        <v>260</v>
      </c>
      <c r="D177" s="10" t="s">
        <v>261</v>
      </c>
      <c r="E177" s="6">
        <v>0</v>
      </c>
      <c r="F177" s="6">
        <v>150000</v>
      </c>
      <c r="G177" s="7">
        <v>150000</v>
      </c>
    </row>
    <row r="178" spans="2:7" ht="46.8" x14ac:dyDescent="0.25">
      <c r="B178" s="21" t="s">
        <v>262</v>
      </c>
      <c r="C178" s="4" t="s">
        <v>263</v>
      </c>
      <c r="D178" s="10" t="s">
        <v>264</v>
      </c>
      <c r="E178" s="6">
        <v>0</v>
      </c>
      <c r="F178" s="6">
        <v>25</v>
      </c>
      <c r="G178" s="7">
        <v>25</v>
      </c>
    </row>
    <row r="179" spans="2:7" ht="41.4" x14ac:dyDescent="0.25">
      <c r="B179" s="21" t="s">
        <v>265</v>
      </c>
      <c r="C179" s="9" t="s">
        <v>266</v>
      </c>
      <c r="D179" s="10" t="s">
        <v>261</v>
      </c>
      <c r="E179" s="6">
        <v>0</v>
      </c>
      <c r="F179" s="6">
        <v>20000</v>
      </c>
      <c r="G179" s="7">
        <v>20000</v>
      </c>
    </row>
    <row r="180" spans="2:7" ht="93.6" x14ac:dyDescent="0.25">
      <c r="B180" s="21" t="s">
        <v>267</v>
      </c>
      <c r="C180" s="4" t="s">
        <v>268</v>
      </c>
      <c r="D180" s="10" t="s">
        <v>261</v>
      </c>
      <c r="E180" s="6">
        <v>0</v>
      </c>
      <c r="F180" s="6">
        <v>175000</v>
      </c>
      <c r="G180" s="7">
        <v>175000</v>
      </c>
    </row>
    <row r="181" spans="2:7" ht="46.8" x14ac:dyDescent="0.25">
      <c r="B181" s="21" t="s">
        <v>269</v>
      </c>
      <c r="C181" s="4" t="s">
        <v>270</v>
      </c>
      <c r="D181" s="10" t="s">
        <v>271</v>
      </c>
      <c r="E181" s="6">
        <v>0</v>
      </c>
      <c r="F181" s="6">
        <v>20000</v>
      </c>
      <c r="G181" s="7">
        <v>20000</v>
      </c>
    </row>
    <row r="182" spans="2:7" ht="140.4" x14ac:dyDescent="0.25">
      <c r="B182" s="21" t="s">
        <v>272</v>
      </c>
      <c r="C182" s="4" t="s">
        <v>273</v>
      </c>
      <c r="D182" s="8" t="s">
        <v>42</v>
      </c>
      <c r="E182" s="6">
        <v>0</v>
      </c>
      <c r="F182" s="7">
        <v>5000</v>
      </c>
      <c r="G182" s="7">
        <f>+E182+F182</f>
        <v>5000</v>
      </c>
    </row>
    <row r="183" spans="2:7" ht="109.2" x14ac:dyDescent="0.25">
      <c r="B183" s="21" t="s">
        <v>274</v>
      </c>
      <c r="C183" s="48" t="s">
        <v>275</v>
      </c>
      <c r="D183" s="49" t="s">
        <v>276</v>
      </c>
      <c r="E183" s="50">
        <v>0</v>
      </c>
      <c r="F183" s="50">
        <v>15150</v>
      </c>
      <c r="G183" s="50">
        <v>15150</v>
      </c>
    </row>
    <row r="184" spans="2:7" ht="78" x14ac:dyDescent="0.25">
      <c r="B184" s="21" t="s">
        <v>277</v>
      </c>
      <c r="C184" s="48" t="s">
        <v>278</v>
      </c>
      <c r="D184" s="49" t="s">
        <v>276</v>
      </c>
      <c r="E184" s="50">
        <v>0</v>
      </c>
      <c r="F184" s="50">
        <v>50500</v>
      </c>
      <c r="G184" s="50">
        <v>50500</v>
      </c>
    </row>
    <row r="185" spans="2:7" ht="93.6" x14ac:dyDescent="0.25">
      <c r="B185" s="21" t="s">
        <v>279</v>
      </c>
      <c r="C185" s="51" t="s">
        <v>280</v>
      </c>
      <c r="D185" s="52" t="s">
        <v>276</v>
      </c>
      <c r="E185" s="53">
        <v>0</v>
      </c>
      <c r="F185" s="53">
        <v>3500</v>
      </c>
      <c r="G185" s="53">
        <v>3500</v>
      </c>
    </row>
    <row r="186" spans="2:7" ht="93.6" x14ac:dyDescent="0.25">
      <c r="B186" s="21" t="s">
        <v>281</v>
      </c>
      <c r="C186" s="48" t="s">
        <v>282</v>
      </c>
      <c r="D186" s="49" t="s">
        <v>276</v>
      </c>
      <c r="E186" s="50">
        <v>0</v>
      </c>
      <c r="F186" s="50">
        <v>10100</v>
      </c>
      <c r="G186" s="50">
        <v>10100</v>
      </c>
    </row>
    <row r="187" spans="2:7" ht="78" x14ac:dyDescent="0.25">
      <c r="B187" s="54" t="s">
        <v>283</v>
      </c>
      <c r="C187" s="51" t="s">
        <v>284</v>
      </c>
      <c r="D187" s="52" t="s">
        <v>276</v>
      </c>
      <c r="E187" s="53">
        <v>0</v>
      </c>
      <c r="F187" s="53">
        <v>6000</v>
      </c>
      <c r="G187" s="53">
        <v>6000</v>
      </c>
    </row>
    <row r="188" spans="2:7" ht="78" x14ac:dyDescent="0.25">
      <c r="B188" s="21" t="s">
        <v>285</v>
      </c>
      <c r="C188" s="51" t="s">
        <v>286</v>
      </c>
      <c r="D188" s="52" t="s">
        <v>276</v>
      </c>
      <c r="E188" s="53">
        <v>0</v>
      </c>
      <c r="F188" s="53">
        <v>7000</v>
      </c>
      <c r="G188" s="53">
        <v>7000</v>
      </c>
    </row>
    <row r="189" spans="2:7" ht="24.6" x14ac:dyDescent="0.25">
      <c r="B189" s="176" t="s">
        <v>287</v>
      </c>
      <c r="C189" s="176"/>
      <c r="D189" s="176"/>
      <c r="E189" s="176"/>
      <c r="F189" s="176"/>
      <c r="G189" s="176"/>
    </row>
    <row r="190" spans="2:7" ht="93.6" x14ac:dyDescent="0.25">
      <c r="B190" s="173" t="s">
        <v>288</v>
      </c>
      <c r="C190" s="55" t="s">
        <v>289</v>
      </c>
      <c r="D190" s="55"/>
      <c r="E190" s="56"/>
      <c r="F190" s="56"/>
      <c r="G190" s="57"/>
    </row>
    <row r="191" spans="2:7" ht="15.6" x14ac:dyDescent="0.25">
      <c r="B191" s="173"/>
      <c r="C191" s="9" t="s">
        <v>290</v>
      </c>
      <c r="D191" s="55"/>
      <c r="E191" s="56"/>
      <c r="F191" s="56"/>
      <c r="G191" s="57"/>
    </row>
    <row r="192" spans="2:7" ht="218.4" x14ac:dyDescent="0.25">
      <c r="B192" s="173"/>
      <c r="C192" s="39" t="s">
        <v>291</v>
      </c>
      <c r="D192" s="58" t="s">
        <v>42</v>
      </c>
      <c r="E192" s="56"/>
      <c r="F192" s="59">
        <v>1555400</v>
      </c>
      <c r="G192" s="57">
        <v>1555400</v>
      </c>
    </row>
    <row r="193" spans="2:7" ht="46.8" x14ac:dyDescent="0.25">
      <c r="B193" s="21" t="s">
        <v>292</v>
      </c>
      <c r="C193" s="9" t="s">
        <v>293</v>
      </c>
      <c r="D193" s="24"/>
      <c r="E193" s="24"/>
      <c r="F193" s="24"/>
      <c r="G193" s="24"/>
    </row>
    <row r="194" spans="2:7" ht="140.4" x14ac:dyDescent="0.25">
      <c r="B194" s="21"/>
      <c r="C194" s="9" t="s">
        <v>294</v>
      </c>
      <c r="D194" s="58" t="s">
        <v>42</v>
      </c>
      <c r="E194" s="22"/>
      <c r="F194" s="59">
        <f>404000*1.1</f>
        <v>444400.00000000006</v>
      </c>
      <c r="G194" s="59">
        <f>F194</f>
        <v>444400.00000000006</v>
      </c>
    </row>
    <row r="195" spans="2:7" ht="22.8" x14ac:dyDescent="0.25">
      <c r="B195" s="174" t="s">
        <v>295</v>
      </c>
      <c r="C195" s="174"/>
      <c r="D195" s="174"/>
      <c r="E195" s="174"/>
      <c r="F195" s="174"/>
      <c r="G195" s="174"/>
    </row>
    <row r="196" spans="2:7" ht="303.75" customHeight="1" x14ac:dyDescent="0.25">
      <c r="B196" s="21" t="s">
        <v>296</v>
      </c>
      <c r="C196" s="60" t="s">
        <v>297</v>
      </c>
      <c r="D196" s="61" t="s">
        <v>298</v>
      </c>
      <c r="E196" s="53">
        <v>0</v>
      </c>
      <c r="F196" s="53">
        <v>13750</v>
      </c>
      <c r="G196" s="62">
        <v>13750</v>
      </c>
    </row>
    <row r="197" spans="2:7" ht="214.2" x14ac:dyDescent="0.25">
      <c r="B197" s="63" t="s">
        <v>299</v>
      </c>
      <c r="C197" s="64" t="s">
        <v>300</v>
      </c>
      <c r="D197" s="65" t="s">
        <v>301</v>
      </c>
      <c r="E197" s="66">
        <v>0</v>
      </c>
      <c r="F197" s="66">
        <v>99000</v>
      </c>
      <c r="G197" s="67">
        <v>99000</v>
      </c>
    </row>
    <row r="198" spans="2:7" ht="316.8" x14ac:dyDescent="0.25">
      <c r="B198" s="68" t="s">
        <v>302</v>
      </c>
      <c r="C198" s="69" t="s">
        <v>303</v>
      </c>
      <c r="D198" s="65" t="s">
        <v>298</v>
      </c>
      <c r="E198" s="66">
        <v>0</v>
      </c>
      <c r="F198" s="66">
        <v>200860</v>
      </c>
      <c r="G198" s="67">
        <v>200860</v>
      </c>
    </row>
    <row r="199" spans="2:7" ht="218.4" x14ac:dyDescent="0.3">
      <c r="B199" s="21" t="s">
        <v>304</v>
      </c>
      <c r="C199" s="70" t="s">
        <v>305</v>
      </c>
      <c r="D199" s="71" t="s">
        <v>301</v>
      </c>
      <c r="E199" s="72">
        <v>0</v>
      </c>
      <c r="F199" s="72">
        <v>3000</v>
      </c>
      <c r="G199" s="73">
        <v>3000</v>
      </c>
    </row>
    <row r="200" spans="2:7" ht="276" x14ac:dyDescent="0.25">
      <c r="B200" s="74" t="s">
        <v>306</v>
      </c>
      <c r="C200" s="75" t="s">
        <v>307</v>
      </c>
      <c r="D200" s="76" t="s">
        <v>301</v>
      </c>
      <c r="E200" s="77">
        <v>0</v>
      </c>
      <c r="F200" s="77">
        <v>337150</v>
      </c>
      <c r="G200" s="78">
        <v>337150</v>
      </c>
    </row>
    <row r="201" spans="2:7" ht="244.8" x14ac:dyDescent="0.25">
      <c r="B201" s="79" t="s">
        <v>308</v>
      </c>
      <c r="C201" s="80" t="s">
        <v>309</v>
      </c>
      <c r="D201" s="65" t="s">
        <v>310</v>
      </c>
      <c r="E201" s="66">
        <v>0</v>
      </c>
      <c r="F201" s="66">
        <v>750000</v>
      </c>
      <c r="G201" s="67">
        <v>750000</v>
      </c>
    </row>
    <row r="202" spans="2:7" ht="347.4" x14ac:dyDescent="0.25">
      <c r="B202" s="68" t="s">
        <v>311</v>
      </c>
      <c r="C202" s="81" t="s">
        <v>312</v>
      </c>
      <c r="D202" s="65" t="s">
        <v>313</v>
      </c>
      <c r="E202" s="66">
        <v>0</v>
      </c>
      <c r="F202" s="66">
        <v>1250000</v>
      </c>
      <c r="G202" s="67">
        <v>1250000</v>
      </c>
    </row>
    <row r="203" spans="2:7" ht="336" x14ac:dyDescent="0.25">
      <c r="B203" s="68" t="s">
        <v>314</v>
      </c>
      <c r="C203" s="81" t="s">
        <v>315</v>
      </c>
      <c r="D203" s="65" t="s">
        <v>310</v>
      </c>
      <c r="E203" s="66">
        <v>0</v>
      </c>
      <c r="F203" s="66">
        <v>1750000</v>
      </c>
      <c r="G203" s="67">
        <v>1750000</v>
      </c>
    </row>
    <row r="204" spans="2:7" ht="41.4" x14ac:dyDescent="0.25">
      <c r="B204" s="21" t="s">
        <v>316</v>
      </c>
      <c r="C204" s="82" t="s">
        <v>317</v>
      </c>
      <c r="D204" s="52" t="s">
        <v>318</v>
      </c>
      <c r="E204" s="53">
        <v>0</v>
      </c>
      <c r="F204" s="62">
        <v>5400</v>
      </c>
      <c r="G204" s="62">
        <v>5400</v>
      </c>
    </row>
    <row r="205" spans="2:7" ht="41.4" x14ac:dyDescent="0.25">
      <c r="B205" s="21" t="s">
        <v>319</v>
      </c>
      <c r="C205" s="82" t="s">
        <v>320</v>
      </c>
      <c r="D205" s="52" t="s">
        <v>318</v>
      </c>
      <c r="E205" s="53">
        <v>0</v>
      </c>
      <c r="F205" s="62">
        <v>2400</v>
      </c>
      <c r="G205" s="62">
        <v>2400</v>
      </c>
    </row>
    <row r="206" spans="2:7" ht="41.4" x14ac:dyDescent="0.25">
      <c r="B206" s="21" t="s">
        <v>321</v>
      </c>
      <c r="C206" s="83" t="s">
        <v>322</v>
      </c>
      <c r="D206" s="52" t="s">
        <v>318</v>
      </c>
      <c r="E206" s="53">
        <v>0</v>
      </c>
      <c r="F206" s="62">
        <v>9000</v>
      </c>
      <c r="G206" s="62">
        <v>9000</v>
      </c>
    </row>
    <row r="207" spans="2:7" ht="41.4" x14ac:dyDescent="0.25">
      <c r="B207" s="21" t="s">
        <v>323</v>
      </c>
      <c r="C207" s="83" t="s">
        <v>324</v>
      </c>
      <c r="D207" s="52" t="s">
        <v>318</v>
      </c>
      <c r="E207" s="53">
        <v>0</v>
      </c>
      <c r="F207" s="62">
        <v>12000</v>
      </c>
      <c r="G207" s="62">
        <v>12000</v>
      </c>
    </row>
    <row r="208" spans="2:7" ht="41.4" x14ac:dyDescent="0.25">
      <c r="B208" s="21" t="s">
        <v>325</v>
      </c>
      <c r="C208" s="82" t="s">
        <v>326</v>
      </c>
      <c r="D208" s="52" t="s">
        <v>318</v>
      </c>
      <c r="E208" s="53">
        <v>0</v>
      </c>
      <c r="F208" s="62">
        <v>3240</v>
      </c>
      <c r="G208" s="62">
        <v>3240</v>
      </c>
    </row>
    <row r="209" spans="2:7" ht="41.4" x14ac:dyDescent="0.25">
      <c r="B209" s="21" t="s">
        <v>327</v>
      </c>
      <c r="C209" s="82" t="s">
        <v>328</v>
      </c>
      <c r="D209" s="52" t="s">
        <v>318</v>
      </c>
      <c r="E209" s="53">
        <v>0</v>
      </c>
      <c r="F209" s="62">
        <v>960</v>
      </c>
      <c r="G209" s="62">
        <v>960</v>
      </c>
    </row>
    <row r="210" spans="2:7" ht="41.4" x14ac:dyDescent="0.25">
      <c r="B210" s="21" t="s">
        <v>329</v>
      </c>
      <c r="C210" s="84" t="s">
        <v>330</v>
      </c>
      <c r="D210" s="52" t="s">
        <v>318</v>
      </c>
      <c r="E210" s="53">
        <v>0</v>
      </c>
      <c r="F210" s="62">
        <v>600</v>
      </c>
      <c r="G210" s="62">
        <v>600</v>
      </c>
    </row>
    <row r="211" spans="2:7" ht="41.4" x14ac:dyDescent="0.25">
      <c r="B211" s="54" t="s">
        <v>331</v>
      </c>
      <c r="C211" s="82" t="s">
        <v>332</v>
      </c>
      <c r="D211" s="52" t="s">
        <v>318</v>
      </c>
      <c r="E211" s="53">
        <v>0</v>
      </c>
      <c r="F211" s="62">
        <v>240</v>
      </c>
      <c r="G211" s="62">
        <v>240</v>
      </c>
    </row>
    <row r="212" spans="2:7" ht="41.4" x14ac:dyDescent="0.25">
      <c r="B212" s="21" t="s">
        <v>333</v>
      </c>
      <c r="C212" s="82" t="s">
        <v>334</v>
      </c>
      <c r="D212" s="52" t="s">
        <v>318</v>
      </c>
      <c r="E212" s="53">
        <v>0</v>
      </c>
      <c r="F212" s="62">
        <v>240</v>
      </c>
      <c r="G212" s="62">
        <v>240</v>
      </c>
    </row>
    <row r="213" spans="2:7" ht="41.4" x14ac:dyDescent="0.25">
      <c r="B213" s="21" t="s">
        <v>335</v>
      </c>
      <c r="C213" s="82" t="s">
        <v>336</v>
      </c>
      <c r="D213" s="52" t="s">
        <v>318</v>
      </c>
      <c r="E213" s="53">
        <v>0</v>
      </c>
      <c r="F213" s="62">
        <v>240</v>
      </c>
      <c r="G213" s="62">
        <v>240</v>
      </c>
    </row>
    <row r="214" spans="2:7" ht="93.6" x14ac:dyDescent="0.25">
      <c r="B214" s="21" t="s">
        <v>337</v>
      </c>
      <c r="C214" s="84" t="s">
        <v>338</v>
      </c>
      <c r="D214" s="52" t="s">
        <v>339</v>
      </c>
      <c r="E214" s="53">
        <v>0</v>
      </c>
      <c r="F214" s="62">
        <v>12000</v>
      </c>
      <c r="G214" s="62">
        <v>12000</v>
      </c>
    </row>
    <row r="215" spans="2:7" ht="46.8" x14ac:dyDescent="0.25">
      <c r="B215" s="21" t="s">
        <v>340</v>
      </c>
      <c r="C215" s="65" t="s">
        <v>341</v>
      </c>
      <c r="D215" s="52" t="s">
        <v>339</v>
      </c>
      <c r="E215" s="53">
        <v>0</v>
      </c>
      <c r="F215" s="62">
        <v>30</v>
      </c>
      <c r="G215" s="62">
        <v>30</v>
      </c>
    </row>
    <row r="216" spans="2:7" ht="93.6" x14ac:dyDescent="0.25">
      <c r="B216" s="21" t="s">
        <v>342</v>
      </c>
      <c r="C216" s="82" t="s">
        <v>343</v>
      </c>
      <c r="D216" s="52" t="s">
        <v>318</v>
      </c>
      <c r="E216" s="53">
        <v>0</v>
      </c>
      <c r="F216" s="53">
        <v>4350</v>
      </c>
      <c r="G216" s="62">
        <v>4350</v>
      </c>
    </row>
    <row r="217" spans="2:7" ht="288" x14ac:dyDescent="0.25">
      <c r="B217" s="63" t="s">
        <v>344</v>
      </c>
      <c r="C217" s="85" t="s">
        <v>345</v>
      </c>
      <c r="D217" s="86" t="s">
        <v>346</v>
      </c>
      <c r="E217" s="66">
        <v>0</v>
      </c>
      <c r="F217" s="67">
        <v>1850000</v>
      </c>
      <c r="G217" s="87">
        <v>1850000</v>
      </c>
    </row>
    <row r="218" spans="2:7" ht="187.2" x14ac:dyDescent="0.25">
      <c r="B218" s="21" t="s">
        <v>347</v>
      </c>
      <c r="C218" s="48" t="s">
        <v>348</v>
      </c>
      <c r="D218" s="88" t="s">
        <v>349</v>
      </c>
      <c r="E218" s="89">
        <v>0</v>
      </c>
      <c r="F218" s="89">
        <v>31500</v>
      </c>
      <c r="G218" s="89">
        <v>31500</v>
      </c>
    </row>
    <row r="219" spans="2:7" ht="312" x14ac:dyDescent="0.25">
      <c r="B219" s="21" t="s">
        <v>350</v>
      </c>
      <c r="C219" s="48" t="s">
        <v>351</v>
      </c>
      <c r="D219" s="88" t="s">
        <v>310</v>
      </c>
      <c r="E219" s="89">
        <v>0</v>
      </c>
      <c r="F219" s="89">
        <v>57750</v>
      </c>
      <c r="G219" s="89">
        <v>57750</v>
      </c>
    </row>
    <row r="220" spans="2:7" ht="306" x14ac:dyDescent="0.25">
      <c r="B220" s="90" t="s">
        <v>352</v>
      </c>
      <c r="C220" s="91" t="s">
        <v>353</v>
      </c>
      <c r="D220" s="88"/>
      <c r="E220" s="92">
        <v>0</v>
      </c>
      <c r="F220" s="93">
        <v>325000</v>
      </c>
      <c r="G220" s="92">
        <f t="shared" ref="G220:G224" si="12">(F220+E220)</f>
        <v>325000</v>
      </c>
    </row>
    <row r="221" spans="2:7" ht="244.8" x14ac:dyDescent="0.25">
      <c r="B221" s="90" t="s">
        <v>354</v>
      </c>
      <c r="C221" s="94" t="s">
        <v>355</v>
      </c>
      <c r="D221" s="88"/>
      <c r="E221" s="89">
        <v>0</v>
      </c>
      <c r="F221" s="93">
        <v>500000</v>
      </c>
      <c r="G221" s="89">
        <f t="shared" si="12"/>
        <v>500000</v>
      </c>
    </row>
    <row r="222" spans="2:7" ht="216" x14ac:dyDescent="0.25">
      <c r="B222" s="90" t="s">
        <v>356</v>
      </c>
      <c r="C222" s="94" t="s">
        <v>357</v>
      </c>
      <c r="D222" s="88"/>
      <c r="E222" s="89">
        <v>0</v>
      </c>
      <c r="F222" s="93">
        <v>125000</v>
      </c>
      <c r="G222" s="89">
        <f t="shared" si="12"/>
        <v>125000</v>
      </c>
    </row>
    <row r="223" spans="2:7" ht="358.8" x14ac:dyDescent="0.25">
      <c r="B223" s="90" t="s">
        <v>358</v>
      </c>
      <c r="C223" s="95" t="s">
        <v>359</v>
      </c>
      <c r="D223" s="88"/>
      <c r="E223" s="89">
        <v>0</v>
      </c>
      <c r="F223" s="93">
        <v>200000</v>
      </c>
      <c r="G223" s="92">
        <f t="shared" si="12"/>
        <v>200000</v>
      </c>
    </row>
    <row r="224" spans="2:7" ht="230.4" x14ac:dyDescent="0.25">
      <c r="B224" s="90" t="s">
        <v>360</v>
      </c>
      <c r="C224" s="94" t="s">
        <v>361</v>
      </c>
      <c r="D224" s="88"/>
      <c r="E224" s="92">
        <v>0</v>
      </c>
      <c r="F224" s="93">
        <v>300000</v>
      </c>
      <c r="G224" s="92">
        <f t="shared" si="12"/>
        <v>300000</v>
      </c>
    </row>
  </sheetData>
  <mergeCells count="20">
    <mergeCell ref="B190:B192"/>
    <mergeCell ref="B195:G195"/>
    <mergeCell ref="C14:G14"/>
    <mergeCell ref="C15:G15"/>
    <mergeCell ref="B133:G133"/>
    <mergeCell ref="B153:G153"/>
    <mergeCell ref="B168:G168"/>
    <mergeCell ref="B189:G189"/>
    <mergeCell ref="C13:G13"/>
    <mergeCell ref="B2:G2"/>
    <mergeCell ref="B3:G3"/>
    <mergeCell ref="B4:G4"/>
    <mergeCell ref="C5:G5"/>
    <mergeCell ref="C6:G6"/>
    <mergeCell ref="C7:G7"/>
    <mergeCell ref="C8:G8"/>
    <mergeCell ref="C9:G9"/>
    <mergeCell ref="C10:G10"/>
    <mergeCell ref="C11:G11"/>
    <mergeCell ref="C12:G12"/>
  </mergeCells>
  <pageMargins left="0.5" right="0" top="0.75" bottom="0.75" header="0.3" footer="0.3"/>
  <pageSetup paperSize="9" scale="97" orientation="portrait" r:id="rId1"/>
  <rowBreaks count="3" manualBreakCount="3">
    <brk id="152" min="1" max="6" man="1"/>
    <brk id="167" min="1" max="6" man="1"/>
    <brk id="194" min="1"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24"/>
  <sheetViews>
    <sheetView view="pageBreakPreview" zoomScale="68" workbookViewId="0">
      <selection activeCell="L8" sqref="L8"/>
    </sheetView>
  </sheetViews>
  <sheetFormatPr defaultColWidth="9.109375" defaultRowHeight="13.2" x14ac:dyDescent="0.25"/>
  <cols>
    <col min="1" max="1" width="9.109375" style="1"/>
    <col min="2" max="2" width="9.88671875" style="1" customWidth="1"/>
    <col min="3" max="3" width="43.33203125" style="1" customWidth="1"/>
    <col min="4" max="4" width="7.109375" style="1" customWidth="1"/>
    <col min="5" max="5" width="12.88671875" style="1" customWidth="1"/>
    <col min="6" max="6" width="12" style="1" customWidth="1"/>
    <col min="7" max="7" width="14.109375" style="1" customWidth="1"/>
    <col min="8" max="16384" width="9.109375" style="1"/>
  </cols>
  <sheetData>
    <row r="2" spans="2:7" ht="54.9" customHeight="1" x14ac:dyDescent="0.25">
      <c r="B2" s="169" t="s">
        <v>0</v>
      </c>
      <c r="C2" s="170"/>
      <c r="D2" s="170"/>
      <c r="E2" s="170"/>
      <c r="F2" s="170"/>
      <c r="G2" s="170"/>
    </row>
    <row r="3" spans="2:7" ht="20.399999999999999" x14ac:dyDescent="0.25">
      <c r="B3" s="171" t="s">
        <v>1</v>
      </c>
      <c r="C3" s="171"/>
      <c r="D3" s="171"/>
      <c r="E3" s="171"/>
      <c r="F3" s="171"/>
      <c r="G3" s="171"/>
    </row>
    <row r="4" spans="2:7" ht="20.399999999999999" x14ac:dyDescent="0.25">
      <c r="B4" s="172" t="s">
        <v>2</v>
      </c>
      <c r="C4" s="172"/>
      <c r="D4" s="172"/>
      <c r="E4" s="172"/>
      <c r="F4" s="172"/>
      <c r="G4" s="172"/>
    </row>
    <row r="5" spans="2:7" ht="104.1" customHeight="1" x14ac:dyDescent="0.25">
      <c r="B5" s="2">
        <v>1</v>
      </c>
      <c r="C5" s="168" t="s">
        <v>3</v>
      </c>
      <c r="D5" s="168"/>
      <c r="E5" s="168"/>
      <c r="F5" s="168"/>
      <c r="G5" s="168"/>
    </row>
    <row r="6" spans="2:7" ht="80.099999999999994" customHeight="1" x14ac:dyDescent="0.25">
      <c r="B6" s="2">
        <v>2</v>
      </c>
      <c r="C6" s="168" t="s">
        <v>4</v>
      </c>
      <c r="D6" s="168"/>
      <c r="E6" s="168"/>
      <c r="F6" s="168"/>
      <c r="G6" s="168"/>
    </row>
    <row r="7" spans="2:7" ht="66" customHeight="1" x14ac:dyDescent="0.25">
      <c r="B7" s="2">
        <v>3</v>
      </c>
      <c r="C7" s="168" t="s">
        <v>5</v>
      </c>
      <c r="D7" s="168"/>
      <c r="E7" s="168"/>
      <c r="F7" s="168"/>
      <c r="G7" s="168"/>
    </row>
    <row r="8" spans="2:7" ht="65.099999999999994" customHeight="1" x14ac:dyDescent="0.25">
      <c r="B8" s="2">
        <v>4</v>
      </c>
      <c r="C8" s="168" t="s">
        <v>6</v>
      </c>
      <c r="D8" s="168"/>
      <c r="E8" s="168"/>
      <c r="F8" s="168"/>
      <c r="G8" s="168"/>
    </row>
    <row r="9" spans="2:7" ht="108" customHeight="1" x14ac:dyDescent="0.25">
      <c r="B9" s="2">
        <v>5</v>
      </c>
      <c r="C9" s="168" t="s">
        <v>7</v>
      </c>
      <c r="D9" s="168"/>
      <c r="E9" s="168"/>
      <c r="F9" s="168"/>
      <c r="G9" s="168"/>
    </row>
    <row r="10" spans="2:7" ht="80.099999999999994" customHeight="1" x14ac:dyDescent="0.25">
      <c r="B10" s="2">
        <v>6</v>
      </c>
      <c r="C10" s="168" t="s">
        <v>8</v>
      </c>
      <c r="D10" s="168"/>
      <c r="E10" s="168"/>
      <c r="F10" s="168"/>
      <c r="G10" s="168"/>
    </row>
    <row r="11" spans="2:7" ht="53.1" customHeight="1" x14ac:dyDescent="0.25">
      <c r="B11" s="2">
        <v>7</v>
      </c>
      <c r="C11" s="168" t="s">
        <v>9</v>
      </c>
      <c r="D11" s="168"/>
      <c r="E11" s="168"/>
      <c r="F11" s="168"/>
      <c r="G11" s="168"/>
    </row>
    <row r="12" spans="2:7" ht="63" customHeight="1" x14ac:dyDescent="0.25">
      <c r="B12" s="2">
        <v>8</v>
      </c>
      <c r="C12" s="168" t="s">
        <v>10</v>
      </c>
      <c r="D12" s="168"/>
      <c r="E12" s="168"/>
      <c r="F12" s="168"/>
      <c r="G12" s="168"/>
    </row>
    <row r="13" spans="2:7" ht="51" customHeight="1" x14ac:dyDescent="0.25">
      <c r="B13" s="2">
        <v>9</v>
      </c>
      <c r="C13" s="168" t="s">
        <v>11</v>
      </c>
      <c r="D13" s="168"/>
      <c r="E13" s="168"/>
      <c r="F13" s="168"/>
      <c r="G13" s="168"/>
    </row>
    <row r="14" spans="2:7" ht="44.1" customHeight="1" x14ac:dyDescent="0.25">
      <c r="B14" s="2">
        <v>10</v>
      </c>
      <c r="C14" s="168" t="s">
        <v>12</v>
      </c>
      <c r="D14" s="168"/>
      <c r="E14" s="168"/>
      <c r="F14" s="168"/>
      <c r="G14" s="168"/>
    </row>
    <row r="15" spans="2:7" ht="68.099999999999994" customHeight="1" x14ac:dyDescent="0.25">
      <c r="B15" s="2">
        <v>11</v>
      </c>
      <c r="C15" s="168" t="s">
        <v>13</v>
      </c>
      <c r="D15" s="168"/>
      <c r="E15" s="168"/>
      <c r="F15" s="168"/>
      <c r="G15" s="168"/>
    </row>
    <row r="16" spans="2:7" ht="62.4" x14ac:dyDescent="0.25">
      <c r="B16" s="3" t="s">
        <v>14</v>
      </c>
      <c r="C16" s="4" t="s">
        <v>15</v>
      </c>
      <c r="D16" s="5"/>
      <c r="E16" s="6"/>
      <c r="F16" s="6"/>
      <c r="G16" s="7"/>
    </row>
    <row r="17" spans="2:7" ht="46.8" x14ac:dyDescent="0.25">
      <c r="B17" s="8"/>
      <c r="C17" s="9" t="s">
        <v>16</v>
      </c>
      <c r="D17" s="5" t="s">
        <v>17</v>
      </c>
      <c r="E17" s="6">
        <v>0</v>
      </c>
      <c r="F17" s="7">
        <v>21</v>
      </c>
      <c r="G17" s="7">
        <f t="shared" ref="G17:G27" si="0">+E17+F17</f>
        <v>21</v>
      </c>
    </row>
    <row r="18" spans="2:7" ht="46.8" x14ac:dyDescent="0.25">
      <c r="B18" s="8"/>
      <c r="C18" s="9" t="s">
        <v>18</v>
      </c>
      <c r="D18" s="5" t="s">
        <v>17</v>
      </c>
      <c r="E18" s="6">
        <v>0</v>
      </c>
      <c r="F18" s="7">
        <v>3</v>
      </c>
      <c r="G18" s="7">
        <f t="shared" si="0"/>
        <v>3</v>
      </c>
    </row>
    <row r="19" spans="2:7" ht="46.8" x14ac:dyDescent="0.25">
      <c r="B19" s="8"/>
      <c r="C19" s="9" t="s">
        <v>19</v>
      </c>
      <c r="D19" s="5" t="s">
        <v>17</v>
      </c>
      <c r="E19" s="6">
        <v>0</v>
      </c>
      <c r="F19" s="7">
        <v>7</v>
      </c>
      <c r="G19" s="7">
        <f t="shared" si="0"/>
        <v>7</v>
      </c>
    </row>
    <row r="20" spans="2:7" ht="46.8" x14ac:dyDescent="0.25">
      <c r="B20" s="8"/>
      <c r="C20" s="9" t="s">
        <v>20</v>
      </c>
      <c r="D20" s="5" t="s">
        <v>21</v>
      </c>
      <c r="E20" s="6">
        <v>0</v>
      </c>
      <c r="F20" s="7">
        <v>1</v>
      </c>
      <c r="G20" s="7">
        <f t="shared" si="0"/>
        <v>1</v>
      </c>
    </row>
    <row r="21" spans="2:7" ht="46.8" x14ac:dyDescent="0.25">
      <c r="B21" s="8"/>
      <c r="C21" s="9" t="s">
        <v>22</v>
      </c>
      <c r="D21" s="5" t="s">
        <v>23</v>
      </c>
      <c r="E21" s="6">
        <v>0</v>
      </c>
      <c r="F21" s="7">
        <v>250</v>
      </c>
      <c r="G21" s="7">
        <f t="shared" si="0"/>
        <v>250</v>
      </c>
    </row>
    <row r="22" spans="2:7" ht="93.6" x14ac:dyDescent="0.25">
      <c r="B22" s="3" t="s">
        <v>24</v>
      </c>
      <c r="C22" s="4" t="s">
        <v>25</v>
      </c>
      <c r="D22" s="5" t="s">
        <v>26</v>
      </c>
      <c r="E22" s="6">
        <v>0</v>
      </c>
      <c r="F22" s="6">
        <v>3</v>
      </c>
      <c r="G22" s="7">
        <f t="shared" si="0"/>
        <v>3</v>
      </c>
    </row>
    <row r="23" spans="2:7" ht="62.4" x14ac:dyDescent="0.25">
      <c r="B23" s="3" t="s">
        <v>27</v>
      </c>
      <c r="C23" s="4" t="s">
        <v>28</v>
      </c>
      <c r="D23" s="5" t="s">
        <v>26</v>
      </c>
      <c r="E23" s="6">
        <v>0</v>
      </c>
      <c r="F23" s="6">
        <v>20</v>
      </c>
      <c r="G23" s="7">
        <f t="shared" si="0"/>
        <v>20</v>
      </c>
    </row>
    <row r="24" spans="2:7" ht="31.2" x14ac:dyDescent="0.25">
      <c r="B24" s="3" t="s">
        <v>29</v>
      </c>
      <c r="C24" s="4" t="s">
        <v>30</v>
      </c>
      <c r="D24" s="5" t="s">
        <v>31</v>
      </c>
      <c r="E24" s="6">
        <v>0</v>
      </c>
      <c r="F24" s="6">
        <v>13</v>
      </c>
      <c r="G24" s="7">
        <f t="shared" si="0"/>
        <v>13</v>
      </c>
    </row>
    <row r="25" spans="2:7" ht="93.6" x14ac:dyDescent="0.25">
      <c r="B25" s="3" t="s">
        <v>32</v>
      </c>
      <c r="C25" s="4" t="s">
        <v>33</v>
      </c>
      <c r="D25" s="5" t="s">
        <v>34</v>
      </c>
      <c r="E25" s="6">
        <v>0</v>
      </c>
      <c r="F25" s="6">
        <v>17</v>
      </c>
      <c r="G25" s="7">
        <f t="shared" si="0"/>
        <v>17</v>
      </c>
    </row>
    <row r="26" spans="2:7" ht="109.2" x14ac:dyDescent="0.25">
      <c r="B26" s="3" t="s">
        <v>35</v>
      </c>
      <c r="C26" s="4" t="s">
        <v>36</v>
      </c>
      <c r="D26" s="5" t="s">
        <v>34</v>
      </c>
      <c r="E26" s="6">
        <v>0</v>
      </c>
      <c r="F26" s="6">
        <v>60</v>
      </c>
      <c r="G26" s="7">
        <f t="shared" si="0"/>
        <v>60</v>
      </c>
    </row>
    <row r="27" spans="2:7" ht="78" x14ac:dyDescent="0.25">
      <c r="B27" s="3" t="s">
        <v>37</v>
      </c>
      <c r="C27" s="9" t="s">
        <v>38</v>
      </c>
      <c r="D27" s="5" t="s">
        <v>34</v>
      </c>
      <c r="E27" s="6">
        <v>0</v>
      </c>
      <c r="F27" s="6">
        <v>80</v>
      </c>
      <c r="G27" s="7">
        <f t="shared" si="0"/>
        <v>80</v>
      </c>
    </row>
    <row r="28" spans="2:7" ht="140.4" x14ac:dyDescent="0.25">
      <c r="B28" s="3" t="s">
        <v>39</v>
      </c>
      <c r="C28" s="4" t="s">
        <v>40</v>
      </c>
      <c r="D28" s="10"/>
      <c r="E28" s="6"/>
      <c r="F28" s="6"/>
      <c r="G28" s="11"/>
    </row>
    <row r="29" spans="2:7" ht="41.4" x14ac:dyDescent="0.25">
      <c r="B29" s="8"/>
      <c r="C29" s="9" t="s">
        <v>41</v>
      </c>
      <c r="D29" s="10" t="s">
        <v>42</v>
      </c>
      <c r="E29" s="6">
        <v>0</v>
      </c>
      <c r="F29" s="11">
        <v>193</v>
      </c>
      <c r="G29" s="11">
        <v>193</v>
      </c>
    </row>
    <row r="30" spans="2:7" ht="41.4" x14ac:dyDescent="0.25">
      <c r="B30" s="8"/>
      <c r="C30" s="9" t="s">
        <v>43</v>
      </c>
      <c r="D30" s="10" t="s">
        <v>42</v>
      </c>
      <c r="E30" s="6">
        <v>0</v>
      </c>
      <c r="F30" s="11">
        <v>270</v>
      </c>
      <c r="G30" s="11">
        <v>270</v>
      </c>
    </row>
    <row r="31" spans="2:7" ht="41.4" x14ac:dyDescent="0.25">
      <c r="B31" s="8"/>
      <c r="C31" s="9" t="s">
        <v>44</v>
      </c>
      <c r="D31" s="10" t="s">
        <v>42</v>
      </c>
      <c r="E31" s="6">
        <v>0</v>
      </c>
      <c r="F31" s="11">
        <v>300</v>
      </c>
      <c r="G31" s="11">
        <v>300</v>
      </c>
    </row>
    <row r="32" spans="2:7" ht="41.4" x14ac:dyDescent="0.25">
      <c r="B32" s="8"/>
      <c r="C32" s="9" t="s">
        <v>45</v>
      </c>
      <c r="D32" s="10" t="s">
        <v>42</v>
      </c>
      <c r="E32" s="6">
        <v>0</v>
      </c>
      <c r="F32" s="11">
        <v>483</v>
      </c>
      <c r="G32" s="11">
        <v>483</v>
      </c>
    </row>
    <row r="33" spans="2:7" ht="93.6" x14ac:dyDescent="0.25">
      <c r="B33" s="3" t="s">
        <v>46</v>
      </c>
      <c r="C33" s="4" t="s">
        <v>47</v>
      </c>
      <c r="D33" s="10"/>
      <c r="E33" s="6"/>
      <c r="F33" s="12"/>
      <c r="G33" s="11"/>
    </row>
    <row r="34" spans="2:7" ht="41.4" x14ac:dyDescent="0.25">
      <c r="B34" s="8"/>
      <c r="C34" s="9" t="s">
        <v>48</v>
      </c>
      <c r="D34" s="10" t="s">
        <v>42</v>
      </c>
      <c r="E34" s="6">
        <v>0</v>
      </c>
      <c r="F34" s="11">
        <v>115</v>
      </c>
      <c r="G34" s="11">
        <v>115</v>
      </c>
    </row>
    <row r="35" spans="2:7" ht="41.4" x14ac:dyDescent="0.25">
      <c r="B35" s="8"/>
      <c r="C35" s="9" t="s">
        <v>49</v>
      </c>
      <c r="D35" s="10" t="s">
        <v>42</v>
      </c>
      <c r="E35" s="6">
        <v>0</v>
      </c>
      <c r="F35" s="11">
        <v>138</v>
      </c>
      <c r="G35" s="11">
        <v>138</v>
      </c>
    </row>
    <row r="36" spans="2:7" ht="41.4" x14ac:dyDescent="0.25">
      <c r="B36" s="8"/>
      <c r="C36" s="9" t="s">
        <v>50</v>
      </c>
      <c r="D36" s="10" t="s">
        <v>42</v>
      </c>
      <c r="E36" s="6">
        <v>0</v>
      </c>
      <c r="F36" s="11">
        <v>174</v>
      </c>
      <c r="G36" s="11">
        <v>174</v>
      </c>
    </row>
    <row r="37" spans="2:7" ht="41.4" x14ac:dyDescent="0.25">
      <c r="B37" s="8"/>
      <c r="C37" s="9" t="s">
        <v>51</v>
      </c>
      <c r="D37" s="10" t="s">
        <v>42</v>
      </c>
      <c r="E37" s="6">
        <v>0</v>
      </c>
      <c r="F37" s="11">
        <v>269</v>
      </c>
      <c r="G37" s="11">
        <v>269</v>
      </c>
    </row>
    <row r="38" spans="2:7" ht="46.8" x14ac:dyDescent="0.25">
      <c r="B38" s="3" t="s">
        <v>52</v>
      </c>
      <c r="C38" s="4" t="s">
        <v>53</v>
      </c>
      <c r="D38" s="10" t="s">
        <v>42</v>
      </c>
      <c r="E38" s="6">
        <v>0</v>
      </c>
      <c r="F38" s="11">
        <v>176</v>
      </c>
      <c r="G38" s="11">
        <v>176</v>
      </c>
    </row>
    <row r="39" spans="2:7" ht="93.6" x14ac:dyDescent="0.25">
      <c r="B39" s="3" t="s">
        <v>54</v>
      </c>
      <c r="C39" s="4" t="s">
        <v>55</v>
      </c>
      <c r="D39" s="10"/>
      <c r="E39" s="6"/>
      <c r="F39" s="12"/>
      <c r="G39" s="11"/>
    </row>
    <row r="40" spans="2:7" ht="41.4" x14ac:dyDescent="0.25">
      <c r="B40" s="8"/>
      <c r="C40" s="9" t="s">
        <v>56</v>
      </c>
      <c r="D40" s="10" t="s">
        <v>42</v>
      </c>
      <c r="E40" s="6">
        <v>0</v>
      </c>
      <c r="F40" s="11">
        <f>9500*1.1</f>
        <v>10450</v>
      </c>
      <c r="G40" s="11">
        <f t="shared" ref="G40:G43" si="1">F40</f>
        <v>10450</v>
      </c>
    </row>
    <row r="41" spans="2:7" ht="41.4" x14ac:dyDescent="0.25">
      <c r="B41" s="8"/>
      <c r="C41" s="9" t="s">
        <v>57</v>
      </c>
      <c r="D41" s="10" t="s">
        <v>42</v>
      </c>
      <c r="E41" s="6">
        <v>0</v>
      </c>
      <c r="F41" s="11">
        <f>15500*1.1</f>
        <v>17050</v>
      </c>
      <c r="G41" s="11">
        <f t="shared" si="1"/>
        <v>17050</v>
      </c>
    </row>
    <row r="42" spans="2:7" ht="124.8" x14ac:dyDescent="0.25">
      <c r="B42" s="3" t="s">
        <v>58</v>
      </c>
      <c r="C42" s="4" t="s">
        <v>59</v>
      </c>
      <c r="D42" s="10" t="s">
        <v>42</v>
      </c>
      <c r="E42" s="6">
        <v>0</v>
      </c>
      <c r="F42" s="11">
        <v>8250</v>
      </c>
      <c r="G42" s="11">
        <v>8250</v>
      </c>
    </row>
    <row r="43" spans="2:7" ht="78" x14ac:dyDescent="0.25">
      <c r="B43" s="3" t="s">
        <v>60</v>
      </c>
      <c r="C43" s="13" t="s">
        <v>61</v>
      </c>
      <c r="D43" s="10" t="s">
        <v>42</v>
      </c>
      <c r="E43" s="6">
        <v>0</v>
      </c>
      <c r="F43" s="6">
        <v>7500</v>
      </c>
      <c r="G43" s="11">
        <f t="shared" si="1"/>
        <v>7500</v>
      </c>
    </row>
    <row r="44" spans="2:7" ht="93.6" x14ac:dyDescent="0.25">
      <c r="B44" s="3" t="s">
        <v>62</v>
      </c>
      <c r="C44" s="13" t="s">
        <v>63</v>
      </c>
      <c r="D44" s="14"/>
      <c r="E44" s="6"/>
      <c r="F44" s="6"/>
      <c r="G44" s="11"/>
    </row>
    <row r="45" spans="2:7" ht="31.2" x14ac:dyDescent="0.25">
      <c r="B45" s="3" t="s">
        <v>64</v>
      </c>
      <c r="C45" s="13" t="s">
        <v>65</v>
      </c>
      <c r="D45" s="14" t="s">
        <v>66</v>
      </c>
      <c r="E45" s="6"/>
      <c r="F45" s="6">
        <v>1200</v>
      </c>
      <c r="G45" s="11">
        <v>1200</v>
      </c>
    </row>
    <row r="46" spans="2:7" ht="31.2" x14ac:dyDescent="0.25">
      <c r="B46" s="3" t="s">
        <v>67</v>
      </c>
      <c r="C46" s="13" t="s">
        <v>68</v>
      </c>
      <c r="D46" s="14" t="s">
        <v>66</v>
      </c>
      <c r="E46" s="6"/>
      <c r="F46" s="6">
        <v>1800</v>
      </c>
      <c r="G46" s="11">
        <v>1800</v>
      </c>
    </row>
    <row r="47" spans="2:7" ht="62.4" x14ac:dyDescent="0.25">
      <c r="B47" s="15" t="s">
        <v>69</v>
      </c>
      <c r="C47" s="13" t="s">
        <v>70</v>
      </c>
      <c r="D47" s="16" t="s">
        <v>34</v>
      </c>
      <c r="E47" s="17">
        <v>0</v>
      </c>
      <c r="F47" s="17">
        <v>80</v>
      </c>
      <c r="G47" s="18">
        <v>80</v>
      </c>
    </row>
    <row r="48" spans="2:7" ht="15.6" x14ac:dyDescent="0.25">
      <c r="B48" s="19"/>
      <c r="C48" s="20" t="s">
        <v>71</v>
      </c>
      <c r="D48" s="16"/>
      <c r="E48" s="17"/>
      <c r="F48" s="17"/>
      <c r="G48" s="18"/>
    </row>
    <row r="49" spans="2:7" ht="62.4" x14ac:dyDescent="0.25">
      <c r="B49" s="15" t="s">
        <v>72</v>
      </c>
      <c r="C49" s="13" t="s">
        <v>73</v>
      </c>
      <c r="D49" s="16" t="s">
        <v>34</v>
      </c>
      <c r="E49" s="17">
        <v>0</v>
      </c>
      <c r="F49" s="17">
        <f>230*1.25</f>
        <v>287.5</v>
      </c>
      <c r="G49" s="17">
        <f>F49</f>
        <v>287.5</v>
      </c>
    </row>
    <row r="50" spans="2:7" ht="62.4" x14ac:dyDescent="0.25">
      <c r="B50" s="15" t="s">
        <v>74</v>
      </c>
      <c r="C50" s="13" t="s">
        <v>75</v>
      </c>
      <c r="D50" s="16" t="s">
        <v>34</v>
      </c>
      <c r="E50" s="17">
        <v>0</v>
      </c>
      <c r="F50" s="17">
        <f>200*1.25</f>
        <v>250</v>
      </c>
      <c r="G50" s="17">
        <v>250</v>
      </c>
    </row>
    <row r="51" spans="2:7" ht="78" x14ac:dyDescent="0.25">
      <c r="B51" s="15" t="s">
        <v>76</v>
      </c>
      <c r="C51" s="13" t="s">
        <v>77</v>
      </c>
      <c r="D51" s="16" t="s">
        <v>34</v>
      </c>
      <c r="E51" s="17">
        <v>0</v>
      </c>
      <c r="F51" s="17">
        <f>400*1.25</f>
        <v>500</v>
      </c>
      <c r="G51" s="17">
        <v>500</v>
      </c>
    </row>
    <row r="52" spans="2:7" ht="15.6" x14ac:dyDescent="0.25">
      <c r="B52" s="21"/>
      <c r="C52" s="22"/>
      <c r="D52" s="23"/>
      <c r="E52" s="24"/>
      <c r="F52" s="24"/>
      <c r="G52" s="25"/>
    </row>
    <row r="53" spans="2:7" ht="46.8" x14ac:dyDescent="0.25">
      <c r="B53" s="3" t="s">
        <v>78</v>
      </c>
      <c r="C53" s="4" t="s">
        <v>79</v>
      </c>
      <c r="D53" s="5" t="s">
        <v>34</v>
      </c>
      <c r="E53" s="6">
        <v>0</v>
      </c>
      <c r="F53" s="6">
        <v>25</v>
      </c>
      <c r="G53" s="7">
        <v>25</v>
      </c>
    </row>
    <row r="54" spans="2:7" ht="62.4" x14ac:dyDescent="0.25">
      <c r="B54" s="3" t="s">
        <v>80</v>
      </c>
      <c r="C54" s="9" t="s">
        <v>81</v>
      </c>
      <c r="D54" s="5"/>
      <c r="E54" s="6"/>
      <c r="F54" s="6"/>
      <c r="G54" s="7"/>
    </row>
    <row r="55" spans="2:7" ht="46.8" x14ac:dyDescent="0.25">
      <c r="B55" s="8"/>
      <c r="C55" s="9" t="s">
        <v>82</v>
      </c>
      <c r="D55" s="5" t="s">
        <v>34</v>
      </c>
      <c r="E55" s="6">
        <v>0</v>
      </c>
      <c r="F55" s="7">
        <v>31</v>
      </c>
      <c r="G55" s="7">
        <f t="shared" ref="G55:G75" si="2">+F55</f>
        <v>31</v>
      </c>
    </row>
    <row r="56" spans="2:7" ht="46.8" x14ac:dyDescent="0.25">
      <c r="B56" s="8"/>
      <c r="C56" s="9" t="s">
        <v>83</v>
      </c>
      <c r="D56" s="5" t="s">
        <v>34</v>
      </c>
      <c r="E56" s="6">
        <v>0</v>
      </c>
      <c r="F56" s="7">
        <v>40</v>
      </c>
      <c r="G56" s="7">
        <f t="shared" si="2"/>
        <v>40</v>
      </c>
    </row>
    <row r="57" spans="2:7" ht="46.8" x14ac:dyDescent="0.25">
      <c r="B57" s="8"/>
      <c r="C57" s="9" t="s">
        <v>84</v>
      </c>
      <c r="D57" s="5" t="s">
        <v>34</v>
      </c>
      <c r="E57" s="6">
        <v>0</v>
      </c>
      <c r="F57" s="7">
        <v>80</v>
      </c>
      <c r="G57" s="7">
        <f t="shared" si="2"/>
        <v>80</v>
      </c>
    </row>
    <row r="58" spans="2:7" ht="46.8" x14ac:dyDescent="0.25">
      <c r="B58" s="8"/>
      <c r="C58" s="9" t="s">
        <v>85</v>
      </c>
      <c r="D58" s="5" t="s">
        <v>34</v>
      </c>
      <c r="E58" s="6">
        <v>0</v>
      </c>
      <c r="F58" s="7">
        <v>250</v>
      </c>
      <c r="G58" s="7">
        <f t="shared" si="2"/>
        <v>250</v>
      </c>
    </row>
    <row r="59" spans="2:7" ht="46.8" x14ac:dyDescent="0.25">
      <c r="B59" s="8"/>
      <c r="C59" s="9" t="s">
        <v>86</v>
      </c>
      <c r="D59" s="5" t="s">
        <v>34</v>
      </c>
      <c r="E59" s="6">
        <v>0</v>
      </c>
      <c r="F59" s="7">
        <v>120</v>
      </c>
      <c r="G59" s="7">
        <f t="shared" si="2"/>
        <v>120</v>
      </c>
    </row>
    <row r="60" spans="2:7" ht="46.8" x14ac:dyDescent="0.25">
      <c r="B60" s="8"/>
      <c r="C60" s="9" t="s">
        <v>87</v>
      </c>
      <c r="D60" s="5" t="s">
        <v>34</v>
      </c>
      <c r="E60" s="6">
        <v>0</v>
      </c>
      <c r="F60" s="7">
        <v>150</v>
      </c>
      <c r="G60" s="7">
        <f t="shared" si="2"/>
        <v>150</v>
      </c>
    </row>
    <row r="61" spans="2:7" ht="46.8" x14ac:dyDescent="0.25">
      <c r="B61" s="8"/>
      <c r="C61" s="9" t="s">
        <v>88</v>
      </c>
      <c r="D61" s="5" t="s">
        <v>34</v>
      </c>
      <c r="E61" s="6">
        <v>0</v>
      </c>
      <c r="F61" s="7">
        <v>208</v>
      </c>
      <c r="G61" s="7">
        <f t="shared" si="2"/>
        <v>208</v>
      </c>
    </row>
    <row r="62" spans="2:7" ht="46.8" x14ac:dyDescent="0.25">
      <c r="B62" s="8"/>
      <c r="C62" s="9" t="s">
        <v>89</v>
      </c>
      <c r="D62" s="5" t="s">
        <v>34</v>
      </c>
      <c r="E62" s="6">
        <v>0</v>
      </c>
      <c r="F62" s="7">
        <v>245</v>
      </c>
      <c r="G62" s="7">
        <f t="shared" si="2"/>
        <v>245</v>
      </c>
    </row>
    <row r="63" spans="2:7" ht="46.8" x14ac:dyDescent="0.25">
      <c r="B63" s="8"/>
      <c r="C63" s="9" t="s">
        <v>90</v>
      </c>
      <c r="D63" s="5" t="s">
        <v>34</v>
      </c>
      <c r="E63" s="6">
        <v>0</v>
      </c>
      <c r="F63" s="7">
        <v>60</v>
      </c>
      <c r="G63" s="7">
        <f t="shared" si="2"/>
        <v>60</v>
      </c>
    </row>
    <row r="64" spans="2:7" ht="46.8" x14ac:dyDescent="0.25">
      <c r="B64" s="8"/>
      <c r="C64" s="9" t="s">
        <v>91</v>
      </c>
      <c r="D64" s="5" t="s">
        <v>34</v>
      </c>
      <c r="E64" s="6">
        <v>0</v>
      </c>
      <c r="F64" s="7">
        <v>170</v>
      </c>
      <c r="G64" s="7">
        <f t="shared" si="2"/>
        <v>170</v>
      </c>
    </row>
    <row r="65" spans="2:7" ht="46.8" x14ac:dyDescent="0.25">
      <c r="B65" s="8"/>
      <c r="C65" s="9" t="s">
        <v>92</v>
      </c>
      <c r="D65" s="5" t="s">
        <v>34</v>
      </c>
      <c r="E65" s="6">
        <v>0</v>
      </c>
      <c r="F65" s="7">
        <v>280</v>
      </c>
      <c r="G65" s="7">
        <f t="shared" si="2"/>
        <v>280</v>
      </c>
    </row>
    <row r="66" spans="2:7" ht="46.8" x14ac:dyDescent="0.25">
      <c r="B66" s="8"/>
      <c r="C66" s="9" t="s">
        <v>93</v>
      </c>
      <c r="D66" s="5" t="s">
        <v>34</v>
      </c>
      <c r="E66" s="6">
        <v>0</v>
      </c>
      <c r="F66" s="7">
        <v>450</v>
      </c>
      <c r="G66" s="7">
        <f t="shared" si="2"/>
        <v>450</v>
      </c>
    </row>
    <row r="67" spans="2:7" ht="46.8" x14ac:dyDescent="0.25">
      <c r="B67" s="8"/>
      <c r="C67" s="9" t="s">
        <v>94</v>
      </c>
      <c r="D67" s="5" t="s">
        <v>34</v>
      </c>
      <c r="E67" s="6">
        <v>0</v>
      </c>
      <c r="F67" s="7">
        <v>790</v>
      </c>
      <c r="G67" s="7">
        <f t="shared" si="2"/>
        <v>790</v>
      </c>
    </row>
    <row r="68" spans="2:7" ht="46.8" x14ac:dyDescent="0.25">
      <c r="B68" s="8"/>
      <c r="C68" s="9" t="s">
        <v>95</v>
      </c>
      <c r="D68" s="5" t="s">
        <v>34</v>
      </c>
      <c r="E68" s="6">
        <v>0</v>
      </c>
      <c r="F68" s="7">
        <v>1230</v>
      </c>
      <c r="G68" s="7">
        <f t="shared" si="2"/>
        <v>1230</v>
      </c>
    </row>
    <row r="69" spans="2:7" ht="46.8" x14ac:dyDescent="0.25">
      <c r="B69" s="8"/>
      <c r="C69" s="9" t="s">
        <v>96</v>
      </c>
      <c r="D69" s="5" t="s">
        <v>34</v>
      </c>
      <c r="E69" s="6">
        <v>0</v>
      </c>
      <c r="F69" s="7">
        <v>1540</v>
      </c>
      <c r="G69" s="7">
        <f t="shared" si="2"/>
        <v>1540</v>
      </c>
    </row>
    <row r="70" spans="2:7" ht="46.8" x14ac:dyDescent="0.25">
      <c r="B70" s="8"/>
      <c r="C70" s="9" t="s">
        <v>97</v>
      </c>
      <c r="D70" s="5" t="s">
        <v>34</v>
      </c>
      <c r="E70" s="6">
        <v>0</v>
      </c>
      <c r="F70" s="7">
        <v>90</v>
      </c>
      <c r="G70" s="7">
        <f t="shared" si="2"/>
        <v>90</v>
      </c>
    </row>
    <row r="71" spans="2:7" ht="46.8" x14ac:dyDescent="0.25">
      <c r="B71" s="8"/>
      <c r="C71" s="9" t="s">
        <v>98</v>
      </c>
      <c r="D71" s="5" t="s">
        <v>34</v>
      </c>
      <c r="E71" s="6">
        <v>0</v>
      </c>
      <c r="F71" s="7">
        <v>160</v>
      </c>
      <c r="G71" s="7">
        <f t="shared" si="2"/>
        <v>160</v>
      </c>
    </row>
    <row r="72" spans="2:7" ht="46.8" x14ac:dyDescent="0.25">
      <c r="B72" s="8"/>
      <c r="C72" s="9" t="s">
        <v>99</v>
      </c>
      <c r="D72" s="5" t="s">
        <v>34</v>
      </c>
      <c r="E72" s="6">
        <v>0</v>
      </c>
      <c r="F72" s="7">
        <v>290</v>
      </c>
      <c r="G72" s="7">
        <f t="shared" si="2"/>
        <v>290</v>
      </c>
    </row>
    <row r="73" spans="2:7" ht="124.8" x14ac:dyDescent="0.25">
      <c r="B73" s="3" t="s">
        <v>100</v>
      </c>
      <c r="C73" s="4" t="s">
        <v>101</v>
      </c>
      <c r="D73" s="5" t="s">
        <v>34</v>
      </c>
      <c r="E73" s="6">
        <v>0</v>
      </c>
      <c r="F73" s="7">
        <v>300</v>
      </c>
      <c r="G73" s="7">
        <f t="shared" si="2"/>
        <v>300</v>
      </c>
    </row>
    <row r="74" spans="2:7" ht="124.8" x14ac:dyDescent="0.25">
      <c r="B74" s="3" t="s">
        <v>102</v>
      </c>
      <c r="C74" s="4" t="s">
        <v>103</v>
      </c>
      <c r="D74" s="5" t="s">
        <v>34</v>
      </c>
      <c r="E74" s="6">
        <v>0</v>
      </c>
      <c r="F74" s="7">
        <v>170</v>
      </c>
      <c r="G74" s="7">
        <f t="shared" si="2"/>
        <v>170</v>
      </c>
    </row>
    <row r="75" spans="2:7" ht="78" x14ac:dyDescent="0.25">
      <c r="B75" s="3" t="s">
        <v>104</v>
      </c>
      <c r="C75" s="4" t="s">
        <v>105</v>
      </c>
      <c r="D75" s="5" t="s">
        <v>106</v>
      </c>
      <c r="E75" s="6">
        <v>0</v>
      </c>
      <c r="F75" s="7">
        <v>115</v>
      </c>
      <c r="G75" s="7">
        <f t="shared" si="2"/>
        <v>115</v>
      </c>
    </row>
    <row r="76" spans="2:7" ht="15.6" x14ac:dyDescent="0.25">
      <c r="B76" s="21"/>
      <c r="C76" s="22"/>
      <c r="D76" s="23"/>
      <c r="E76" s="24"/>
      <c r="F76" s="24"/>
      <c r="G76" s="25"/>
    </row>
    <row r="77" spans="2:7" ht="78" x14ac:dyDescent="0.25">
      <c r="B77" s="3" t="s">
        <v>107</v>
      </c>
      <c r="C77" s="13" t="s">
        <v>108</v>
      </c>
      <c r="D77" s="10"/>
      <c r="E77" s="6"/>
      <c r="F77" s="6"/>
      <c r="G77" s="7"/>
    </row>
    <row r="78" spans="2:7" ht="34.200000000000003" x14ac:dyDescent="0.25">
      <c r="B78" s="8"/>
      <c r="C78" s="13" t="s">
        <v>109</v>
      </c>
      <c r="D78" s="14" t="s">
        <v>110</v>
      </c>
      <c r="E78" s="6">
        <v>0</v>
      </c>
      <c r="F78" s="11">
        <v>3.25</v>
      </c>
      <c r="G78" s="11">
        <f t="shared" ref="G78:G87" si="3">F78</f>
        <v>3.25</v>
      </c>
    </row>
    <row r="79" spans="2:7" ht="34.200000000000003" x14ac:dyDescent="0.25">
      <c r="B79" s="8"/>
      <c r="C79" s="13" t="s">
        <v>111</v>
      </c>
      <c r="D79" s="14" t="s">
        <v>110</v>
      </c>
      <c r="E79" s="6">
        <v>0</v>
      </c>
      <c r="F79" s="11">
        <v>0.5</v>
      </c>
      <c r="G79" s="11">
        <f t="shared" si="3"/>
        <v>0.5</v>
      </c>
    </row>
    <row r="80" spans="2:7" ht="34.200000000000003" x14ac:dyDescent="0.25">
      <c r="B80" s="8"/>
      <c r="C80" s="13" t="s">
        <v>112</v>
      </c>
      <c r="D80" s="14" t="s">
        <v>110</v>
      </c>
      <c r="E80" s="6">
        <v>0</v>
      </c>
      <c r="F80" s="11">
        <v>4.25</v>
      </c>
      <c r="G80" s="11">
        <f t="shared" si="3"/>
        <v>4.25</v>
      </c>
    </row>
    <row r="81" spans="2:7" ht="34.200000000000003" x14ac:dyDescent="0.25">
      <c r="B81" s="8"/>
      <c r="C81" s="13" t="s">
        <v>113</v>
      </c>
      <c r="D81" s="14" t="s">
        <v>110</v>
      </c>
      <c r="E81" s="6">
        <v>0</v>
      </c>
      <c r="F81" s="11">
        <v>0.9</v>
      </c>
      <c r="G81" s="11">
        <f t="shared" si="3"/>
        <v>0.9</v>
      </c>
    </row>
    <row r="82" spans="2:7" ht="34.200000000000003" x14ac:dyDescent="0.25">
      <c r="B82" s="8"/>
      <c r="C82" s="13" t="s">
        <v>114</v>
      </c>
      <c r="D82" s="14" t="s">
        <v>110</v>
      </c>
      <c r="E82" s="6">
        <v>0</v>
      </c>
      <c r="F82" s="11">
        <v>7.4</v>
      </c>
      <c r="G82" s="11">
        <f t="shared" si="3"/>
        <v>7.4</v>
      </c>
    </row>
    <row r="83" spans="2:7" ht="34.200000000000003" x14ac:dyDescent="0.25">
      <c r="B83" s="8"/>
      <c r="C83" s="13" t="s">
        <v>115</v>
      </c>
      <c r="D83" s="14" t="s">
        <v>110</v>
      </c>
      <c r="E83" s="6">
        <v>0</v>
      </c>
      <c r="F83" s="11">
        <v>1.9</v>
      </c>
      <c r="G83" s="11">
        <f t="shared" si="3"/>
        <v>1.9</v>
      </c>
    </row>
    <row r="84" spans="2:7" ht="34.200000000000003" x14ac:dyDescent="0.25">
      <c r="B84" s="8"/>
      <c r="C84" s="13" t="s">
        <v>116</v>
      </c>
      <c r="D84" s="14" t="s">
        <v>110</v>
      </c>
      <c r="E84" s="6">
        <v>0</v>
      </c>
      <c r="F84" s="11">
        <v>10.75</v>
      </c>
      <c r="G84" s="11">
        <f t="shared" si="3"/>
        <v>10.75</v>
      </c>
    </row>
    <row r="85" spans="2:7" ht="34.200000000000003" x14ac:dyDescent="0.25">
      <c r="B85" s="8"/>
      <c r="C85" s="13" t="s">
        <v>117</v>
      </c>
      <c r="D85" s="14" t="s">
        <v>110</v>
      </c>
      <c r="E85" s="6">
        <v>0</v>
      </c>
      <c r="F85" s="11">
        <v>3.1</v>
      </c>
      <c r="G85" s="11">
        <f t="shared" si="3"/>
        <v>3.1</v>
      </c>
    </row>
    <row r="86" spans="2:7" ht="34.200000000000003" x14ac:dyDescent="0.25">
      <c r="B86" s="8"/>
      <c r="C86" s="13" t="s">
        <v>118</v>
      </c>
      <c r="D86" s="14" t="s">
        <v>110</v>
      </c>
      <c r="E86" s="6">
        <v>0</v>
      </c>
      <c r="F86" s="11">
        <v>12.9</v>
      </c>
      <c r="G86" s="11">
        <f t="shared" si="3"/>
        <v>12.9</v>
      </c>
    </row>
    <row r="87" spans="2:7" ht="34.200000000000003" x14ac:dyDescent="0.25">
      <c r="B87" s="8"/>
      <c r="C87" s="13" t="s">
        <v>119</v>
      </c>
      <c r="D87" s="14" t="s">
        <v>110</v>
      </c>
      <c r="E87" s="6">
        <v>0</v>
      </c>
      <c r="F87" s="11">
        <v>4.4000000000000004</v>
      </c>
      <c r="G87" s="11">
        <f t="shared" si="3"/>
        <v>4.4000000000000004</v>
      </c>
    </row>
    <row r="88" spans="2:7" ht="93.6" x14ac:dyDescent="0.25">
      <c r="B88" s="3" t="s">
        <v>120</v>
      </c>
      <c r="C88" s="4" t="s">
        <v>121</v>
      </c>
      <c r="D88" s="5"/>
      <c r="E88" s="6"/>
      <c r="F88" s="6"/>
      <c r="G88" s="7"/>
    </row>
    <row r="89" spans="2:7" ht="46.8" x14ac:dyDescent="0.25">
      <c r="B89" s="8"/>
      <c r="C89" s="9" t="s">
        <v>122</v>
      </c>
      <c r="D89" s="5" t="s">
        <v>123</v>
      </c>
      <c r="E89" s="6">
        <v>0</v>
      </c>
      <c r="F89" s="6">
        <v>11.8</v>
      </c>
      <c r="G89" s="7">
        <f t="shared" ref="G89:G95" si="4">+F89+E89</f>
        <v>11.8</v>
      </c>
    </row>
    <row r="90" spans="2:7" ht="46.8" x14ac:dyDescent="0.25">
      <c r="B90" s="8"/>
      <c r="C90" s="9" t="s">
        <v>124</v>
      </c>
      <c r="D90" s="5" t="s">
        <v>123</v>
      </c>
      <c r="E90" s="6">
        <v>0</v>
      </c>
      <c r="F90" s="6">
        <v>16</v>
      </c>
      <c r="G90" s="7">
        <f t="shared" si="4"/>
        <v>16</v>
      </c>
    </row>
    <row r="91" spans="2:7" ht="46.8" x14ac:dyDescent="0.25">
      <c r="B91" s="8"/>
      <c r="C91" s="9" t="s">
        <v>125</v>
      </c>
      <c r="D91" s="5" t="s">
        <v>123</v>
      </c>
      <c r="E91" s="6">
        <v>0</v>
      </c>
      <c r="F91" s="6">
        <v>18.100000000000001</v>
      </c>
      <c r="G91" s="7">
        <f t="shared" si="4"/>
        <v>18.100000000000001</v>
      </c>
    </row>
    <row r="92" spans="2:7" ht="46.8" x14ac:dyDescent="0.25">
      <c r="B92" s="8"/>
      <c r="C92" s="9" t="s">
        <v>126</v>
      </c>
      <c r="D92" s="5" t="s">
        <v>123</v>
      </c>
      <c r="E92" s="6">
        <v>0</v>
      </c>
      <c r="F92" s="7">
        <v>21.5</v>
      </c>
      <c r="G92" s="7">
        <f t="shared" si="4"/>
        <v>21.5</v>
      </c>
    </row>
    <row r="93" spans="2:7" ht="46.8" x14ac:dyDescent="0.25">
      <c r="B93" s="8"/>
      <c r="C93" s="9" t="s">
        <v>127</v>
      </c>
      <c r="D93" s="5" t="s">
        <v>123</v>
      </c>
      <c r="E93" s="6">
        <v>0</v>
      </c>
      <c r="F93" s="7">
        <v>30</v>
      </c>
      <c r="G93" s="7">
        <f t="shared" si="4"/>
        <v>30</v>
      </c>
    </row>
    <row r="94" spans="2:7" ht="46.8" x14ac:dyDescent="0.25">
      <c r="B94" s="8"/>
      <c r="C94" s="9" t="s">
        <v>128</v>
      </c>
      <c r="D94" s="5" t="s">
        <v>123</v>
      </c>
      <c r="E94" s="6">
        <v>0</v>
      </c>
      <c r="F94" s="7">
        <v>45.25</v>
      </c>
      <c r="G94" s="7">
        <f t="shared" si="4"/>
        <v>45.25</v>
      </c>
    </row>
    <row r="95" spans="2:7" ht="46.8" x14ac:dyDescent="0.25">
      <c r="B95" s="8"/>
      <c r="C95" s="9" t="s">
        <v>129</v>
      </c>
      <c r="D95" s="5" t="s">
        <v>123</v>
      </c>
      <c r="E95" s="6">
        <v>0</v>
      </c>
      <c r="F95" s="7">
        <v>61.25</v>
      </c>
      <c r="G95" s="7">
        <f t="shared" si="4"/>
        <v>61.25</v>
      </c>
    </row>
    <row r="96" spans="2:7" ht="93.6" x14ac:dyDescent="0.25">
      <c r="B96" s="3" t="s">
        <v>130</v>
      </c>
      <c r="C96" s="4" t="s">
        <v>131</v>
      </c>
      <c r="D96" s="5"/>
      <c r="E96" s="6"/>
      <c r="F96" s="7"/>
      <c r="G96" s="7"/>
    </row>
    <row r="97" spans="2:7" ht="46.8" x14ac:dyDescent="0.25">
      <c r="B97" s="8"/>
      <c r="C97" s="9" t="s">
        <v>132</v>
      </c>
      <c r="D97" s="5" t="s">
        <v>123</v>
      </c>
      <c r="E97" s="6">
        <v>0</v>
      </c>
      <c r="F97" s="7">
        <v>50</v>
      </c>
      <c r="G97" s="7">
        <f t="shared" ref="G97:G100" si="5">+F97+E97</f>
        <v>50</v>
      </c>
    </row>
    <row r="98" spans="2:7" ht="46.8" x14ac:dyDescent="0.25">
      <c r="B98" s="8"/>
      <c r="C98" s="9" t="s">
        <v>133</v>
      </c>
      <c r="D98" s="5" t="s">
        <v>123</v>
      </c>
      <c r="E98" s="6">
        <v>0</v>
      </c>
      <c r="F98" s="7">
        <v>75</v>
      </c>
      <c r="G98" s="7">
        <f t="shared" si="5"/>
        <v>75</v>
      </c>
    </row>
    <row r="99" spans="2:7" ht="46.8" x14ac:dyDescent="0.25">
      <c r="B99" s="8"/>
      <c r="C99" s="9" t="s">
        <v>134</v>
      </c>
      <c r="D99" s="5" t="s">
        <v>123</v>
      </c>
      <c r="E99" s="6">
        <v>0</v>
      </c>
      <c r="F99" s="7">
        <v>93.75</v>
      </c>
      <c r="G99" s="7">
        <f t="shared" si="5"/>
        <v>93.75</v>
      </c>
    </row>
    <row r="100" spans="2:7" ht="46.8" x14ac:dyDescent="0.25">
      <c r="B100" s="8"/>
      <c r="C100" s="13" t="s">
        <v>135</v>
      </c>
      <c r="D100" s="16" t="s">
        <v>123</v>
      </c>
      <c r="E100" s="17">
        <v>0</v>
      </c>
      <c r="F100" s="18">
        <v>43.75</v>
      </c>
      <c r="G100" s="18">
        <f t="shared" si="5"/>
        <v>43.75</v>
      </c>
    </row>
    <row r="101" spans="2:7" ht="156" x14ac:dyDescent="0.25">
      <c r="B101" s="3" t="s">
        <v>136</v>
      </c>
      <c r="C101" s="4" t="s">
        <v>137</v>
      </c>
      <c r="D101" s="5"/>
      <c r="E101" s="6"/>
      <c r="F101" s="6"/>
      <c r="G101" s="7"/>
    </row>
    <row r="102" spans="2:7" ht="46.8" x14ac:dyDescent="0.25">
      <c r="B102" s="8"/>
      <c r="C102" s="9" t="s">
        <v>138</v>
      </c>
      <c r="D102" s="5" t="s">
        <v>139</v>
      </c>
      <c r="E102" s="6">
        <v>0</v>
      </c>
      <c r="F102" s="7">
        <v>140</v>
      </c>
      <c r="G102" s="7">
        <f t="shared" ref="G102:G107" si="6">+E102+F102</f>
        <v>140</v>
      </c>
    </row>
    <row r="103" spans="2:7" ht="46.8" x14ac:dyDescent="0.25">
      <c r="B103" s="8"/>
      <c r="C103" s="9" t="s">
        <v>140</v>
      </c>
      <c r="D103" s="5" t="s">
        <v>139</v>
      </c>
      <c r="E103" s="6">
        <v>0</v>
      </c>
      <c r="F103" s="7">
        <v>175</v>
      </c>
      <c r="G103" s="7">
        <f t="shared" si="6"/>
        <v>175</v>
      </c>
    </row>
    <row r="104" spans="2:7" ht="156" x14ac:dyDescent="0.25">
      <c r="B104" s="3" t="s">
        <v>141</v>
      </c>
      <c r="C104" s="9" t="s">
        <v>142</v>
      </c>
      <c r="D104" s="5"/>
      <c r="E104" s="6"/>
      <c r="F104" s="6"/>
      <c r="G104" s="7"/>
    </row>
    <row r="105" spans="2:7" ht="46.8" x14ac:dyDescent="0.25">
      <c r="B105" s="8"/>
      <c r="C105" s="9" t="s">
        <v>143</v>
      </c>
      <c r="D105" s="5" t="s">
        <v>139</v>
      </c>
      <c r="E105" s="6">
        <v>0</v>
      </c>
      <c r="F105" s="7">
        <v>160</v>
      </c>
      <c r="G105" s="7">
        <f t="shared" si="6"/>
        <v>160</v>
      </c>
    </row>
    <row r="106" spans="2:7" ht="46.8" x14ac:dyDescent="0.25">
      <c r="B106" s="8"/>
      <c r="C106" s="9" t="s">
        <v>144</v>
      </c>
      <c r="D106" s="5" t="s">
        <v>139</v>
      </c>
      <c r="E106" s="6">
        <v>0</v>
      </c>
      <c r="F106" s="7">
        <v>190</v>
      </c>
      <c r="G106" s="7">
        <f t="shared" si="6"/>
        <v>190</v>
      </c>
    </row>
    <row r="107" spans="2:7" ht="46.8" x14ac:dyDescent="0.25">
      <c r="B107" s="8"/>
      <c r="C107" s="9" t="s">
        <v>145</v>
      </c>
      <c r="D107" s="5" t="s">
        <v>139</v>
      </c>
      <c r="E107" s="6">
        <v>0</v>
      </c>
      <c r="F107" s="7">
        <v>245</v>
      </c>
      <c r="G107" s="7">
        <f t="shared" si="6"/>
        <v>245</v>
      </c>
    </row>
    <row r="108" spans="2:7" ht="140.4" x14ac:dyDescent="0.25">
      <c r="B108" s="3" t="s">
        <v>146</v>
      </c>
      <c r="C108" s="4" t="s">
        <v>147</v>
      </c>
      <c r="D108" s="5"/>
      <c r="E108" s="6"/>
      <c r="F108" s="6"/>
      <c r="G108" s="7"/>
    </row>
    <row r="109" spans="2:7" ht="46.8" x14ac:dyDescent="0.25">
      <c r="B109" s="8"/>
      <c r="C109" s="9" t="s">
        <v>148</v>
      </c>
      <c r="D109" s="5" t="s">
        <v>139</v>
      </c>
      <c r="E109" s="6">
        <v>0</v>
      </c>
      <c r="F109" s="7">
        <v>125</v>
      </c>
      <c r="G109" s="7">
        <f t="shared" ref="G109:G117" si="7">+E109+F109</f>
        <v>125</v>
      </c>
    </row>
    <row r="110" spans="2:7" ht="46.8" x14ac:dyDescent="0.25">
      <c r="B110" s="8"/>
      <c r="C110" s="9" t="s">
        <v>149</v>
      </c>
      <c r="D110" s="5" t="s">
        <v>139</v>
      </c>
      <c r="E110" s="6">
        <v>0</v>
      </c>
      <c r="F110" s="7">
        <v>160</v>
      </c>
      <c r="G110" s="7">
        <f t="shared" si="7"/>
        <v>160</v>
      </c>
    </row>
    <row r="111" spans="2:7" ht="46.8" x14ac:dyDescent="0.25">
      <c r="B111" s="8"/>
      <c r="C111" s="9" t="s">
        <v>150</v>
      </c>
      <c r="D111" s="5" t="s">
        <v>139</v>
      </c>
      <c r="E111" s="6">
        <v>0</v>
      </c>
      <c r="F111" s="7">
        <v>250</v>
      </c>
      <c r="G111" s="7">
        <f t="shared" si="7"/>
        <v>250</v>
      </c>
    </row>
    <row r="112" spans="2:7" ht="46.8" x14ac:dyDescent="0.25">
      <c r="B112" s="8"/>
      <c r="C112" s="9" t="s">
        <v>151</v>
      </c>
      <c r="D112" s="5" t="s">
        <v>139</v>
      </c>
      <c r="E112" s="6">
        <v>0</v>
      </c>
      <c r="F112" s="7">
        <v>350</v>
      </c>
      <c r="G112" s="7">
        <f t="shared" si="7"/>
        <v>350</v>
      </c>
    </row>
    <row r="113" spans="2:7" ht="46.8" x14ac:dyDescent="0.25">
      <c r="B113" s="8"/>
      <c r="C113" s="9" t="s">
        <v>152</v>
      </c>
      <c r="D113" s="5" t="s">
        <v>139</v>
      </c>
      <c r="E113" s="6">
        <v>0</v>
      </c>
      <c r="F113" s="7">
        <v>450</v>
      </c>
      <c r="G113" s="7">
        <f t="shared" si="7"/>
        <v>450</v>
      </c>
    </row>
    <row r="114" spans="2:7" ht="46.8" x14ac:dyDescent="0.25">
      <c r="B114" s="8"/>
      <c r="C114" s="9" t="s">
        <v>153</v>
      </c>
      <c r="D114" s="5" t="s">
        <v>139</v>
      </c>
      <c r="E114" s="6">
        <v>0</v>
      </c>
      <c r="F114" s="7">
        <v>500</v>
      </c>
      <c r="G114" s="7">
        <f t="shared" si="7"/>
        <v>500</v>
      </c>
    </row>
    <row r="115" spans="2:7" ht="46.8" x14ac:dyDescent="0.25">
      <c r="B115" s="8"/>
      <c r="C115" s="9" t="s">
        <v>154</v>
      </c>
      <c r="D115" s="5" t="s">
        <v>139</v>
      </c>
      <c r="E115" s="6">
        <v>0</v>
      </c>
      <c r="F115" s="7">
        <v>650</v>
      </c>
      <c r="G115" s="7">
        <f t="shared" si="7"/>
        <v>650</v>
      </c>
    </row>
    <row r="116" spans="2:7" ht="46.8" x14ac:dyDescent="0.25">
      <c r="B116" s="8"/>
      <c r="C116" s="9" t="s">
        <v>155</v>
      </c>
      <c r="D116" s="5" t="s">
        <v>139</v>
      </c>
      <c r="E116" s="6">
        <v>0</v>
      </c>
      <c r="F116" s="7">
        <v>990</v>
      </c>
      <c r="G116" s="7">
        <f t="shared" si="7"/>
        <v>990</v>
      </c>
    </row>
    <row r="117" spans="2:7" ht="46.8" x14ac:dyDescent="0.25">
      <c r="B117" s="8"/>
      <c r="C117" s="9" t="s">
        <v>156</v>
      </c>
      <c r="D117" s="5" t="s">
        <v>139</v>
      </c>
      <c r="E117" s="6">
        <v>0</v>
      </c>
      <c r="F117" s="7">
        <v>1150</v>
      </c>
      <c r="G117" s="7">
        <f t="shared" si="7"/>
        <v>1150</v>
      </c>
    </row>
    <row r="118" spans="2:7" ht="109.2" x14ac:dyDescent="0.25">
      <c r="B118" s="3" t="s">
        <v>157</v>
      </c>
      <c r="C118" s="4" t="s">
        <v>158</v>
      </c>
      <c r="D118" s="5"/>
      <c r="E118" s="6"/>
      <c r="F118" s="6"/>
      <c r="G118" s="7"/>
    </row>
    <row r="119" spans="2:7" ht="46.8" x14ac:dyDescent="0.25">
      <c r="B119" s="8"/>
      <c r="C119" s="9" t="s">
        <v>159</v>
      </c>
      <c r="D119" s="5" t="s">
        <v>139</v>
      </c>
      <c r="E119" s="6">
        <v>0</v>
      </c>
      <c r="F119" s="7">
        <v>130</v>
      </c>
      <c r="G119" s="7">
        <f t="shared" ref="G119:G126" si="8">+E119+F119</f>
        <v>130</v>
      </c>
    </row>
    <row r="120" spans="2:7" ht="46.8" x14ac:dyDescent="0.25">
      <c r="B120" s="8"/>
      <c r="C120" s="9" t="s">
        <v>160</v>
      </c>
      <c r="D120" s="5" t="s">
        <v>139</v>
      </c>
      <c r="E120" s="6">
        <v>0</v>
      </c>
      <c r="F120" s="7">
        <v>180</v>
      </c>
      <c r="G120" s="7">
        <f t="shared" si="8"/>
        <v>180</v>
      </c>
    </row>
    <row r="121" spans="2:7" ht="46.8" x14ac:dyDescent="0.25">
      <c r="B121" s="8"/>
      <c r="C121" s="9" t="s">
        <v>161</v>
      </c>
      <c r="D121" s="5" t="s">
        <v>139</v>
      </c>
      <c r="E121" s="6">
        <v>0</v>
      </c>
      <c r="F121" s="7">
        <v>300</v>
      </c>
      <c r="G121" s="7">
        <f t="shared" si="8"/>
        <v>300</v>
      </c>
    </row>
    <row r="122" spans="2:7" ht="46.8" x14ac:dyDescent="0.25">
      <c r="B122" s="8"/>
      <c r="C122" s="9" t="s">
        <v>162</v>
      </c>
      <c r="D122" s="5" t="s">
        <v>139</v>
      </c>
      <c r="E122" s="6">
        <v>0</v>
      </c>
      <c r="F122" s="7">
        <v>400</v>
      </c>
      <c r="G122" s="7">
        <f t="shared" si="8"/>
        <v>400</v>
      </c>
    </row>
    <row r="123" spans="2:7" ht="46.8" x14ac:dyDescent="0.25">
      <c r="B123" s="8"/>
      <c r="C123" s="9" t="s">
        <v>163</v>
      </c>
      <c r="D123" s="5" t="s">
        <v>139</v>
      </c>
      <c r="E123" s="6">
        <v>0</v>
      </c>
      <c r="F123" s="7">
        <v>600</v>
      </c>
      <c r="G123" s="7">
        <f t="shared" si="8"/>
        <v>600</v>
      </c>
    </row>
    <row r="124" spans="2:7" ht="46.8" x14ac:dyDescent="0.25">
      <c r="B124" s="8"/>
      <c r="C124" s="9" t="s">
        <v>164</v>
      </c>
      <c r="D124" s="5" t="s">
        <v>139</v>
      </c>
      <c r="E124" s="6">
        <v>0</v>
      </c>
      <c r="F124" s="7">
        <v>750</v>
      </c>
      <c r="G124" s="7">
        <f t="shared" si="8"/>
        <v>750</v>
      </c>
    </row>
    <row r="125" spans="2:7" ht="46.8" x14ac:dyDescent="0.25">
      <c r="B125" s="8"/>
      <c r="C125" s="9" t="s">
        <v>165</v>
      </c>
      <c r="D125" s="5" t="s">
        <v>139</v>
      </c>
      <c r="E125" s="6">
        <v>0</v>
      </c>
      <c r="F125" s="7">
        <v>1100</v>
      </c>
      <c r="G125" s="7">
        <f t="shared" si="8"/>
        <v>1100</v>
      </c>
    </row>
    <row r="126" spans="2:7" ht="46.8" x14ac:dyDescent="0.25">
      <c r="B126" s="8"/>
      <c r="C126" s="9" t="s">
        <v>166</v>
      </c>
      <c r="D126" s="5" t="s">
        <v>139</v>
      </c>
      <c r="E126" s="6">
        <v>0</v>
      </c>
      <c r="F126" s="7">
        <v>1250</v>
      </c>
      <c r="G126" s="7">
        <f t="shared" si="8"/>
        <v>1250</v>
      </c>
    </row>
    <row r="127" spans="2:7" ht="331.2" x14ac:dyDescent="0.25">
      <c r="B127" s="26" t="s">
        <v>167</v>
      </c>
      <c r="C127" s="27" t="s">
        <v>168</v>
      </c>
      <c r="D127" s="5" t="s">
        <v>139</v>
      </c>
      <c r="E127" s="6"/>
      <c r="F127" s="6"/>
      <c r="G127" s="7"/>
    </row>
    <row r="128" spans="2:7" ht="109.2" x14ac:dyDescent="0.25">
      <c r="B128" s="8" t="s">
        <v>169</v>
      </c>
      <c r="C128" s="4" t="s">
        <v>170</v>
      </c>
      <c r="D128" s="5" t="s">
        <v>139</v>
      </c>
      <c r="E128" s="6"/>
      <c r="F128" s="6">
        <v>22000</v>
      </c>
      <c r="G128" s="7">
        <v>22000</v>
      </c>
    </row>
    <row r="129" spans="2:7" ht="124.8" x14ac:dyDescent="0.25">
      <c r="B129" s="8" t="s">
        <v>171</v>
      </c>
      <c r="C129" s="4" t="s">
        <v>172</v>
      </c>
      <c r="D129" s="5" t="s">
        <v>139</v>
      </c>
      <c r="E129" s="6"/>
      <c r="F129" s="6">
        <v>12000</v>
      </c>
      <c r="G129" s="7">
        <v>12000</v>
      </c>
    </row>
    <row r="130" spans="2:7" ht="93.6" x14ac:dyDescent="0.25">
      <c r="B130" s="28" t="s">
        <v>173</v>
      </c>
      <c r="C130" s="29" t="s">
        <v>174</v>
      </c>
      <c r="D130" s="30" t="s">
        <v>139</v>
      </c>
      <c r="E130" s="31"/>
      <c r="F130" s="32">
        <v>8000</v>
      </c>
      <c r="G130" s="33">
        <f>+F130</f>
        <v>8000</v>
      </c>
    </row>
    <row r="131" spans="2:7" ht="62.4" x14ac:dyDescent="0.25">
      <c r="B131" s="26" t="s">
        <v>175</v>
      </c>
      <c r="C131" s="34" t="s">
        <v>176</v>
      </c>
      <c r="D131" s="5" t="s">
        <v>139</v>
      </c>
      <c r="E131" s="6"/>
      <c r="F131" s="6">
        <f>6290*1.01*10%+250</f>
        <v>885.29</v>
      </c>
      <c r="G131" s="7">
        <f t="shared" ref="G131:G136" si="9">F131</f>
        <v>885.29</v>
      </c>
    </row>
    <row r="132" spans="2:7" ht="62.4" x14ac:dyDescent="0.25">
      <c r="B132" s="26" t="s">
        <v>177</v>
      </c>
      <c r="C132" s="34" t="s">
        <v>178</v>
      </c>
      <c r="D132" s="5" t="s">
        <v>139</v>
      </c>
      <c r="E132" s="6"/>
      <c r="F132" s="6">
        <f>16500*1.01*10%+250</f>
        <v>1916.5</v>
      </c>
      <c r="G132" s="7">
        <f t="shared" si="9"/>
        <v>1916.5</v>
      </c>
    </row>
    <row r="133" spans="2:7" ht="22.8" x14ac:dyDescent="0.25">
      <c r="B133" s="175" t="s">
        <v>179</v>
      </c>
      <c r="C133" s="175"/>
      <c r="D133" s="175"/>
      <c r="E133" s="175"/>
      <c r="F133" s="175"/>
      <c r="G133" s="175"/>
    </row>
    <row r="134" spans="2:7" ht="78" x14ac:dyDescent="0.25">
      <c r="B134" s="3" t="s">
        <v>180</v>
      </c>
      <c r="C134" s="4" t="s">
        <v>181</v>
      </c>
      <c r="D134" s="5" t="s">
        <v>182</v>
      </c>
      <c r="E134" s="6">
        <v>0</v>
      </c>
      <c r="F134" s="6">
        <v>2300</v>
      </c>
      <c r="G134" s="7">
        <v>2300</v>
      </c>
    </row>
    <row r="135" spans="2:7" ht="78" x14ac:dyDescent="0.25">
      <c r="B135" s="3" t="s">
        <v>183</v>
      </c>
      <c r="C135" s="35" t="s">
        <v>184</v>
      </c>
      <c r="D135" s="5" t="s">
        <v>185</v>
      </c>
      <c r="E135" s="6">
        <v>0</v>
      </c>
      <c r="F135" s="6">
        <v>325</v>
      </c>
      <c r="G135" s="7">
        <v>325</v>
      </c>
    </row>
    <row r="136" spans="2:7" ht="78" x14ac:dyDescent="0.25">
      <c r="B136" s="3" t="s">
        <v>186</v>
      </c>
      <c r="C136" s="4" t="s">
        <v>187</v>
      </c>
      <c r="D136" s="5" t="s">
        <v>188</v>
      </c>
      <c r="E136" s="6">
        <v>0</v>
      </c>
      <c r="F136" s="6">
        <v>815</v>
      </c>
      <c r="G136" s="7">
        <f t="shared" si="9"/>
        <v>815</v>
      </c>
    </row>
    <row r="137" spans="2:7" ht="109.2" x14ac:dyDescent="0.25">
      <c r="B137" s="3" t="s">
        <v>189</v>
      </c>
      <c r="C137" s="4" t="s">
        <v>190</v>
      </c>
      <c r="D137" s="5" t="s">
        <v>106</v>
      </c>
      <c r="E137" s="6">
        <v>0</v>
      </c>
      <c r="F137" s="6">
        <v>690</v>
      </c>
      <c r="G137" s="7">
        <v>687.5</v>
      </c>
    </row>
    <row r="138" spans="2:7" ht="109.2" x14ac:dyDescent="0.25">
      <c r="B138" s="3" t="s">
        <v>191</v>
      </c>
      <c r="C138" s="4" t="s">
        <v>192</v>
      </c>
      <c r="D138" s="5" t="s">
        <v>188</v>
      </c>
      <c r="E138" s="6">
        <v>0</v>
      </c>
      <c r="F138" s="6">
        <v>1900</v>
      </c>
      <c r="G138" s="7">
        <v>1900</v>
      </c>
    </row>
    <row r="139" spans="2:7" ht="93.6" x14ac:dyDescent="0.25">
      <c r="B139" s="3" t="s">
        <v>193</v>
      </c>
      <c r="C139" s="4" t="s">
        <v>194</v>
      </c>
      <c r="D139" s="5" t="s">
        <v>188</v>
      </c>
      <c r="E139" s="6">
        <v>0</v>
      </c>
      <c r="F139" s="6">
        <v>3500</v>
      </c>
      <c r="G139" s="7">
        <f>+F139</f>
        <v>3500</v>
      </c>
    </row>
    <row r="140" spans="2:7" ht="109.2" x14ac:dyDescent="0.25">
      <c r="B140" s="3" t="s">
        <v>195</v>
      </c>
      <c r="C140" s="4" t="s">
        <v>196</v>
      </c>
      <c r="D140" s="5" t="s">
        <v>188</v>
      </c>
      <c r="E140" s="6">
        <v>0</v>
      </c>
      <c r="F140" s="6">
        <v>7000</v>
      </c>
      <c r="G140" s="7">
        <f>+F140</f>
        <v>7000</v>
      </c>
    </row>
    <row r="141" spans="2:7" ht="62.4" x14ac:dyDescent="0.25">
      <c r="B141" s="3" t="s">
        <v>197</v>
      </c>
      <c r="C141" s="4" t="s">
        <v>198</v>
      </c>
      <c r="D141" s="5" t="s">
        <v>188</v>
      </c>
      <c r="E141" s="6">
        <v>0</v>
      </c>
      <c r="F141" s="7">
        <v>940</v>
      </c>
      <c r="G141" s="7">
        <f t="shared" ref="G141:G143" si="10">F141</f>
        <v>940</v>
      </c>
    </row>
    <row r="142" spans="2:7" ht="62.4" x14ac:dyDescent="0.25">
      <c r="B142" s="3" t="s">
        <v>199</v>
      </c>
      <c r="C142" s="4" t="s">
        <v>200</v>
      </c>
      <c r="D142" s="5" t="s">
        <v>188</v>
      </c>
      <c r="E142" s="6">
        <v>0</v>
      </c>
      <c r="F142" s="7">
        <v>1190</v>
      </c>
      <c r="G142" s="7">
        <f t="shared" si="10"/>
        <v>1190</v>
      </c>
    </row>
    <row r="143" spans="2:7" ht="62.4" x14ac:dyDescent="0.25">
      <c r="B143" s="3" t="s">
        <v>201</v>
      </c>
      <c r="C143" s="4" t="s">
        <v>202</v>
      </c>
      <c r="D143" s="5" t="s">
        <v>188</v>
      </c>
      <c r="E143" s="6">
        <v>0</v>
      </c>
      <c r="F143" s="6">
        <v>1375</v>
      </c>
      <c r="G143" s="7">
        <f t="shared" si="10"/>
        <v>1375</v>
      </c>
    </row>
    <row r="144" spans="2:7" ht="78" x14ac:dyDescent="0.25">
      <c r="B144" s="3" t="s">
        <v>203</v>
      </c>
      <c r="C144" s="4" t="s">
        <v>204</v>
      </c>
      <c r="D144" s="5" t="s">
        <v>188</v>
      </c>
      <c r="E144" s="6">
        <v>0</v>
      </c>
      <c r="F144" s="6">
        <f>+G144</f>
        <v>1100</v>
      </c>
      <c r="G144" s="7">
        <v>1100</v>
      </c>
    </row>
    <row r="145" spans="2:7" ht="109.2" x14ac:dyDescent="0.25">
      <c r="B145" s="26" t="s">
        <v>205</v>
      </c>
      <c r="C145" s="4" t="s">
        <v>206</v>
      </c>
      <c r="D145" s="5" t="s">
        <v>207</v>
      </c>
      <c r="E145" s="6">
        <v>0</v>
      </c>
      <c r="F145" s="6">
        <v>13</v>
      </c>
      <c r="G145" s="7">
        <f t="shared" ref="G145:G147" si="11">F145</f>
        <v>13</v>
      </c>
    </row>
    <row r="146" spans="2:7" ht="93.6" x14ac:dyDescent="0.25">
      <c r="B146" s="8" t="s">
        <v>208</v>
      </c>
      <c r="C146" s="4" t="s">
        <v>209</v>
      </c>
      <c r="D146" s="5" t="s">
        <v>207</v>
      </c>
      <c r="E146" s="6"/>
      <c r="F146" s="6">
        <v>3</v>
      </c>
      <c r="G146" s="7">
        <f t="shared" si="11"/>
        <v>3</v>
      </c>
    </row>
    <row r="147" spans="2:7" ht="78" x14ac:dyDescent="0.25">
      <c r="B147" s="26" t="s">
        <v>210</v>
      </c>
      <c r="C147" s="4" t="s">
        <v>211</v>
      </c>
      <c r="D147" s="5" t="s">
        <v>188</v>
      </c>
      <c r="E147" s="6"/>
      <c r="F147" s="6">
        <v>15000</v>
      </c>
      <c r="G147" s="7">
        <f t="shared" si="11"/>
        <v>15000</v>
      </c>
    </row>
    <row r="148" spans="2:7" ht="296.39999999999998" x14ac:dyDescent="0.25">
      <c r="B148" s="28" t="s">
        <v>212</v>
      </c>
      <c r="C148" s="36" t="s">
        <v>213</v>
      </c>
      <c r="D148" s="5" t="s">
        <v>188</v>
      </c>
      <c r="E148" s="37"/>
      <c r="F148" s="37">
        <v>1162</v>
      </c>
      <c r="G148" s="38">
        <v>1162</v>
      </c>
    </row>
    <row r="149" spans="2:7" ht="46.8" x14ac:dyDescent="0.25">
      <c r="B149" s="28" t="s">
        <v>214</v>
      </c>
      <c r="C149" s="39" t="s">
        <v>215</v>
      </c>
      <c r="D149" s="5" t="s">
        <v>188</v>
      </c>
      <c r="E149" s="37"/>
      <c r="F149" s="37">
        <v>780</v>
      </c>
      <c r="G149" s="38">
        <f>F149</f>
        <v>780</v>
      </c>
    </row>
    <row r="150" spans="2:7" ht="46.8" x14ac:dyDescent="0.25">
      <c r="B150" s="28" t="s">
        <v>216</v>
      </c>
      <c r="C150" s="39" t="s">
        <v>217</v>
      </c>
      <c r="D150" s="5" t="s">
        <v>188</v>
      </c>
      <c r="E150" s="37"/>
      <c r="F150" s="37">
        <v>655</v>
      </c>
      <c r="G150" s="38">
        <v>655</v>
      </c>
    </row>
    <row r="151" spans="2:7" ht="249.6" x14ac:dyDescent="0.25">
      <c r="B151" s="28" t="s">
        <v>218</v>
      </c>
      <c r="C151" s="4" t="s">
        <v>219</v>
      </c>
      <c r="D151" s="5" t="s">
        <v>188</v>
      </c>
      <c r="E151" s="6"/>
      <c r="F151" s="7">
        <v>750</v>
      </c>
      <c r="G151" s="7">
        <f>+F151</f>
        <v>750</v>
      </c>
    </row>
    <row r="152" spans="2:7" ht="78" x14ac:dyDescent="0.25">
      <c r="B152" s="28" t="s">
        <v>220</v>
      </c>
      <c r="C152" s="13" t="s">
        <v>221</v>
      </c>
      <c r="D152" s="5" t="s">
        <v>188</v>
      </c>
      <c r="E152" s="17">
        <v>0</v>
      </c>
      <c r="F152" s="17">
        <v>2250</v>
      </c>
      <c r="G152" s="17">
        <v>2250</v>
      </c>
    </row>
    <row r="153" spans="2:7" ht="22.8" x14ac:dyDescent="0.25">
      <c r="B153" s="175" t="s">
        <v>222</v>
      </c>
      <c r="C153" s="175"/>
      <c r="D153" s="175"/>
      <c r="E153" s="175"/>
      <c r="F153" s="175"/>
      <c r="G153" s="175"/>
    </row>
    <row r="154" spans="2:7" ht="78" x14ac:dyDescent="0.25">
      <c r="B154" s="40" t="s">
        <v>223</v>
      </c>
      <c r="C154" s="4" t="s">
        <v>224</v>
      </c>
      <c r="D154" s="8"/>
      <c r="E154" s="6"/>
      <c r="F154" s="41"/>
      <c r="G154" s="7"/>
    </row>
    <row r="155" spans="2:7" ht="46.8" x14ac:dyDescent="0.25">
      <c r="B155" s="8"/>
      <c r="C155" s="9" t="s">
        <v>225</v>
      </c>
      <c r="D155" s="8" t="s">
        <v>42</v>
      </c>
      <c r="E155" s="6">
        <v>0</v>
      </c>
      <c r="F155" s="7">
        <v>1090</v>
      </c>
      <c r="G155" s="7">
        <v>1090</v>
      </c>
    </row>
    <row r="156" spans="2:7" ht="46.8" x14ac:dyDescent="0.25">
      <c r="B156" s="8"/>
      <c r="C156" s="9" t="s">
        <v>226</v>
      </c>
      <c r="D156" s="8" t="s">
        <v>42</v>
      </c>
      <c r="E156" s="6">
        <v>0</v>
      </c>
      <c r="F156" s="7">
        <v>4700</v>
      </c>
      <c r="G156" s="7">
        <v>4700</v>
      </c>
    </row>
    <row r="157" spans="2:7" ht="93.6" x14ac:dyDescent="0.25">
      <c r="B157" s="3" t="s">
        <v>227</v>
      </c>
      <c r="C157" s="4" t="s">
        <v>228</v>
      </c>
      <c r="D157" s="8"/>
      <c r="E157" s="6"/>
      <c r="F157" s="7"/>
      <c r="G157" s="7"/>
    </row>
    <row r="158" spans="2:7" ht="46.8" x14ac:dyDescent="0.25">
      <c r="B158" s="8"/>
      <c r="C158" s="9" t="s">
        <v>229</v>
      </c>
      <c r="D158" s="8" t="s">
        <v>42</v>
      </c>
      <c r="E158" s="6">
        <v>0</v>
      </c>
      <c r="F158" s="7">
        <v>4700</v>
      </c>
      <c r="G158" s="7">
        <v>4700</v>
      </c>
    </row>
    <row r="159" spans="2:7" ht="46.8" x14ac:dyDescent="0.25">
      <c r="B159" s="8"/>
      <c r="C159" s="42" t="s">
        <v>230</v>
      </c>
      <c r="D159" s="8" t="s">
        <v>42</v>
      </c>
      <c r="E159" s="6">
        <v>0</v>
      </c>
      <c r="F159" s="7">
        <v>5150</v>
      </c>
      <c r="G159" s="7">
        <v>5150</v>
      </c>
    </row>
    <row r="160" spans="2:7" ht="46.8" x14ac:dyDescent="0.25">
      <c r="B160" s="8"/>
      <c r="C160" s="42" t="s">
        <v>231</v>
      </c>
      <c r="D160" s="8" t="s">
        <v>42</v>
      </c>
      <c r="E160" s="6">
        <v>0</v>
      </c>
      <c r="F160" s="7">
        <v>7500</v>
      </c>
      <c r="G160" s="7">
        <v>7500</v>
      </c>
    </row>
    <row r="161" spans="2:7" ht="46.8" x14ac:dyDescent="0.25">
      <c r="B161" s="8"/>
      <c r="C161" s="42" t="s">
        <v>232</v>
      </c>
      <c r="D161" s="8" t="s">
        <v>42</v>
      </c>
      <c r="E161" s="6">
        <v>0</v>
      </c>
      <c r="F161" s="7">
        <v>9000</v>
      </c>
      <c r="G161" s="7">
        <v>9000</v>
      </c>
    </row>
    <row r="162" spans="2:7" ht="46.8" x14ac:dyDescent="0.25">
      <c r="B162" s="8"/>
      <c r="C162" s="42" t="s">
        <v>233</v>
      </c>
      <c r="D162" s="8" t="s">
        <v>42</v>
      </c>
      <c r="E162" s="6">
        <v>0</v>
      </c>
      <c r="F162" s="7">
        <v>18000</v>
      </c>
      <c r="G162" s="7">
        <v>18000</v>
      </c>
    </row>
    <row r="163" spans="2:7" ht="46.8" x14ac:dyDescent="0.25">
      <c r="B163" s="8"/>
      <c r="C163" s="42" t="s">
        <v>234</v>
      </c>
      <c r="D163" s="8" t="s">
        <v>42</v>
      </c>
      <c r="E163" s="6">
        <v>0</v>
      </c>
      <c r="F163" s="7">
        <v>24000</v>
      </c>
      <c r="G163" s="7">
        <v>24000</v>
      </c>
    </row>
    <row r="164" spans="2:7" ht="46.8" x14ac:dyDescent="0.25">
      <c r="B164" s="8"/>
      <c r="C164" s="42" t="s">
        <v>235</v>
      </c>
      <c r="D164" s="8" t="s">
        <v>42</v>
      </c>
      <c r="E164" s="6">
        <v>0</v>
      </c>
      <c r="F164" s="7">
        <v>38000</v>
      </c>
      <c r="G164" s="7">
        <v>38000</v>
      </c>
    </row>
    <row r="165" spans="2:7" ht="93.6" x14ac:dyDescent="0.25">
      <c r="B165" s="43" t="s">
        <v>236</v>
      </c>
      <c r="C165" s="4" t="s">
        <v>237</v>
      </c>
      <c r="D165" s="8"/>
      <c r="E165" s="44"/>
      <c r="F165" s="44"/>
      <c r="G165" s="44"/>
    </row>
    <row r="166" spans="2:7" ht="31.2" x14ac:dyDescent="0.25">
      <c r="B166" s="45"/>
      <c r="C166" s="9" t="s">
        <v>238</v>
      </c>
      <c r="D166" s="8" t="s">
        <v>239</v>
      </c>
      <c r="E166" s="44">
        <v>0</v>
      </c>
      <c r="F166" s="44">
        <f>21*1.25</f>
        <v>26.25</v>
      </c>
      <c r="G166" s="44">
        <f>F166</f>
        <v>26.25</v>
      </c>
    </row>
    <row r="167" spans="2:7" ht="15.6" x14ac:dyDescent="0.25">
      <c r="B167" s="41"/>
      <c r="C167" s="42" t="s">
        <v>240</v>
      </c>
      <c r="D167" s="46" t="s">
        <v>239</v>
      </c>
      <c r="E167" s="47">
        <v>0</v>
      </c>
      <c r="F167" s="47">
        <f>33*1.25</f>
        <v>41.25</v>
      </c>
      <c r="G167" s="44">
        <f>F167</f>
        <v>41.25</v>
      </c>
    </row>
    <row r="168" spans="2:7" ht="22.8" x14ac:dyDescent="0.25">
      <c r="B168" s="175" t="s">
        <v>241</v>
      </c>
      <c r="C168" s="175"/>
      <c r="D168" s="175"/>
      <c r="E168" s="175"/>
      <c r="F168" s="175"/>
      <c r="G168" s="175"/>
    </row>
    <row r="169" spans="2:7" ht="202.8" x14ac:dyDescent="0.25">
      <c r="B169" s="21" t="s">
        <v>242</v>
      </c>
      <c r="C169" s="4" t="s">
        <v>243</v>
      </c>
      <c r="D169" s="10"/>
      <c r="E169" s="6"/>
      <c r="F169" s="6"/>
      <c r="G169" s="7"/>
    </row>
    <row r="170" spans="2:7" ht="41.4" x14ac:dyDescent="0.25">
      <c r="B170" s="21" t="s">
        <v>244</v>
      </c>
      <c r="C170" s="9" t="s">
        <v>245</v>
      </c>
      <c r="D170" s="10" t="s">
        <v>246</v>
      </c>
      <c r="E170" s="6">
        <v>0</v>
      </c>
      <c r="F170" s="6">
        <v>625</v>
      </c>
      <c r="G170" s="7">
        <v>625</v>
      </c>
    </row>
    <row r="171" spans="2:7" ht="41.4" x14ac:dyDescent="0.25">
      <c r="B171" s="21" t="s">
        <v>247</v>
      </c>
      <c r="C171" s="9" t="s">
        <v>248</v>
      </c>
      <c r="D171" s="10" t="s">
        <v>246</v>
      </c>
      <c r="E171" s="6">
        <v>0</v>
      </c>
      <c r="F171" s="6">
        <v>550</v>
      </c>
      <c r="G171" s="7">
        <v>550</v>
      </c>
    </row>
    <row r="172" spans="2:7" ht="202.8" x14ac:dyDescent="0.25">
      <c r="B172" s="21" t="s">
        <v>249</v>
      </c>
      <c r="C172" s="4" t="s">
        <v>250</v>
      </c>
      <c r="D172" s="10"/>
      <c r="E172" s="6"/>
      <c r="F172" s="6"/>
      <c r="G172" s="7"/>
    </row>
    <row r="173" spans="2:7" ht="41.4" x14ac:dyDescent="0.25">
      <c r="B173" s="21" t="s">
        <v>251</v>
      </c>
      <c r="C173" s="9" t="s">
        <v>245</v>
      </c>
      <c r="D173" s="10" t="s">
        <v>246</v>
      </c>
      <c r="E173" s="6">
        <v>0</v>
      </c>
      <c r="F173" s="6">
        <v>575</v>
      </c>
      <c r="G173" s="7">
        <v>575</v>
      </c>
    </row>
    <row r="174" spans="2:7" ht="41.4" x14ac:dyDescent="0.25">
      <c r="B174" s="21" t="s">
        <v>252</v>
      </c>
      <c r="C174" s="9" t="s">
        <v>248</v>
      </c>
      <c r="D174" s="10" t="s">
        <v>246</v>
      </c>
      <c r="E174" s="6">
        <v>0</v>
      </c>
      <c r="F174" s="6">
        <v>500</v>
      </c>
      <c r="G174" s="7">
        <v>500</v>
      </c>
    </row>
    <row r="175" spans="2:7" ht="109.2" x14ac:dyDescent="0.25">
      <c r="B175" s="21" t="s">
        <v>253</v>
      </c>
      <c r="C175" s="4" t="s">
        <v>254</v>
      </c>
      <c r="D175" s="10" t="s">
        <v>255</v>
      </c>
      <c r="E175" s="6">
        <v>0</v>
      </c>
      <c r="F175" s="6">
        <v>1000</v>
      </c>
      <c r="G175" s="7">
        <v>1000</v>
      </c>
    </row>
    <row r="176" spans="2:7" ht="109.2" x14ac:dyDescent="0.25">
      <c r="B176" s="21" t="s">
        <v>256</v>
      </c>
      <c r="C176" s="4" t="s">
        <v>257</v>
      </c>
      <c r="D176" s="10" t="s">
        <v>258</v>
      </c>
      <c r="E176" s="6">
        <v>0</v>
      </c>
      <c r="F176" s="6">
        <v>20200</v>
      </c>
      <c r="G176" s="7">
        <v>20200</v>
      </c>
    </row>
    <row r="177" spans="2:7" ht="78" x14ac:dyDescent="0.25">
      <c r="B177" s="21" t="s">
        <v>259</v>
      </c>
      <c r="C177" s="4" t="s">
        <v>260</v>
      </c>
      <c r="D177" s="10" t="s">
        <v>261</v>
      </c>
      <c r="E177" s="6">
        <v>0</v>
      </c>
      <c r="F177" s="6">
        <v>150000</v>
      </c>
      <c r="G177" s="7">
        <v>150000</v>
      </c>
    </row>
    <row r="178" spans="2:7" ht="46.8" x14ac:dyDescent="0.25">
      <c r="B178" s="21" t="s">
        <v>262</v>
      </c>
      <c r="C178" s="4" t="s">
        <v>263</v>
      </c>
      <c r="D178" s="10" t="s">
        <v>264</v>
      </c>
      <c r="E178" s="6">
        <v>0</v>
      </c>
      <c r="F178" s="6">
        <v>25</v>
      </c>
      <c r="G178" s="7">
        <v>25</v>
      </c>
    </row>
    <row r="179" spans="2:7" ht="41.4" x14ac:dyDescent="0.25">
      <c r="B179" s="21" t="s">
        <v>265</v>
      </c>
      <c r="C179" s="9" t="s">
        <v>266</v>
      </c>
      <c r="D179" s="10" t="s">
        <v>261</v>
      </c>
      <c r="E179" s="6">
        <v>0</v>
      </c>
      <c r="F179" s="6">
        <v>20000</v>
      </c>
      <c r="G179" s="7">
        <v>20000</v>
      </c>
    </row>
    <row r="180" spans="2:7" ht="93.6" x14ac:dyDescent="0.25">
      <c r="B180" s="21" t="s">
        <v>267</v>
      </c>
      <c r="C180" s="4" t="s">
        <v>268</v>
      </c>
      <c r="D180" s="10" t="s">
        <v>261</v>
      </c>
      <c r="E180" s="6">
        <v>0</v>
      </c>
      <c r="F180" s="6">
        <v>175000</v>
      </c>
      <c r="G180" s="7">
        <v>175000</v>
      </c>
    </row>
    <row r="181" spans="2:7" ht="46.8" x14ac:dyDescent="0.25">
      <c r="B181" s="21" t="s">
        <v>269</v>
      </c>
      <c r="C181" s="4" t="s">
        <v>270</v>
      </c>
      <c r="D181" s="10" t="s">
        <v>271</v>
      </c>
      <c r="E181" s="6">
        <v>0</v>
      </c>
      <c r="F181" s="6">
        <v>20000</v>
      </c>
      <c r="G181" s="7">
        <v>20000</v>
      </c>
    </row>
    <row r="182" spans="2:7" ht="140.4" x14ac:dyDescent="0.25">
      <c r="B182" s="21" t="s">
        <v>272</v>
      </c>
      <c r="C182" s="4" t="s">
        <v>273</v>
      </c>
      <c r="D182" s="8" t="s">
        <v>42</v>
      </c>
      <c r="E182" s="6">
        <v>0</v>
      </c>
      <c r="F182" s="7">
        <v>5000</v>
      </c>
      <c r="G182" s="7">
        <f>+E182+F182</f>
        <v>5000</v>
      </c>
    </row>
    <row r="183" spans="2:7" ht="109.2" x14ac:dyDescent="0.25">
      <c r="B183" s="21" t="s">
        <v>274</v>
      </c>
      <c r="C183" s="48" t="s">
        <v>275</v>
      </c>
      <c r="D183" s="49" t="s">
        <v>276</v>
      </c>
      <c r="E183" s="50">
        <v>0</v>
      </c>
      <c r="F183" s="50">
        <v>15150</v>
      </c>
      <c r="G183" s="50">
        <v>15150</v>
      </c>
    </row>
    <row r="184" spans="2:7" ht="78" x14ac:dyDescent="0.25">
      <c r="B184" s="21" t="s">
        <v>277</v>
      </c>
      <c r="C184" s="48" t="s">
        <v>278</v>
      </c>
      <c r="D184" s="49" t="s">
        <v>276</v>
      </c>
      <c r="E184" s="50">
        <v>0</v>
      </c>
      <c r="F184" s="50">
        <v>50500</v>
      </c>
      <c r="G184" s="50">
        <v>50500</v>
      </c>
    </row>
    <row r="185" spans="2:7" ht="93.6" x14ac:dyDescent="0.25">
      <c r="B185" s="21" t="s">
        <v>279</v>
      </c>
      <c r="C185" s="51" t="s">
        <v>280</v>
      </c>
      <c r="D185" s="52" t="s">
        <v>276</v>
      </c>
      <c r="E185" s="53">
        <v>0</v>
      </c>
      <c r="F185" s="53">
        <v>3500</v>
      </c>
      <c r="G185" s="53">
        <v>3500</v>
      </c>
    </row>
    <row r="186" spans="2:7" ht="93.6" x14ac:dyDescent="0.25">
      <c r="B186" s="21" t="s">
        <v>281</v>
      </c>
      <c r="C186" s="48" t="s">
        <v>282</v>
      </c>
      <c r="D186" s="49" t="s">
        <v>276</v>
      </c>
      <c r="E186" s="50">
        <v>0</v>
      </c>
      <c r="F186" s="50">
        <v>10100</v>
      </c>
      <c r="G186" s="50">
        <v>10100</v>
      </c>
    </row>
    <row r="187" spans="2:7" ht="78" x14ac:dyDescent="0.25">
      <c r="B187" s="54" t="s">
        <v>283</v>
      </c>
      <c r="C187" s="51" t="s">
        <v>284</v>
      </c>
      <c r="D187" s="52" t="s">
        <v>276</v>
      </c>
      <c r="E187" s="53">
        <v>0</v>
      </c>
      <c r="F187" s="53">
        <v>6000</v>
      </c>
      <c r="G187" s="53">
        <v>6000</v>
      </c>
    </row>
    <row r="188" spans="2:7" ht="78" x14ac:dyDescent="0.25">
      <c r="B188" s="21" t="s">
        <v>285</v>
      </c>
      <c r="C188" s="51" t="s">
        <v>286</v>
      </c>
      <c r="D188" s="52" t="s">
        <v>276</v>
      </c>
      <c r="E188" s="53">
        <v>0</v>
      </c>
      <c r="F188" s="53">
        <v>7000</v>
      </c>
      <c r="G188" s="53">
        <v>7000</v>
      </c>
    </row>
    <row r="189" spans="2:7" ht="24.6" x14ac:dyDescent="0.25">
      <c r="B189" s="176" t="s">
        <v>287</v>
      </c>
      <c r="C189" s="176"/>
      <c r="D189" s="176"/>
      <c r="E189" s="176"/>
      <c r="F189" s="176"/>
      <c r="G189" s="176"/>
    </row>
    <row r="190" spans="2:7" ht="93.6" x14ac:dyDescent="0.25">
      <c r="B190" s="173" t="s">
        <v>288</v>
      </c>
      <c r="C190" s="55" t="s">
        <v>289</v>
      </c>
      <c r="D190" s="55"/>
      <c r="E190" s="56"/>
      <c r="F190" s="56"/>
      <c r="G190" s="57"/>
    </row>
    <row r="191" spans="2:7" ht="15.6" x14ac:dyDescent="0.25">
      <c r="B191" s="173"/>
      <c r="C191" s="9" t="s">
        <v>290</v>
      </c>
      <c r="D191" s="55"/>
      <c r="E191" s="56"/>
      <c r="F191" s="56"/>
      <c r="G191" s="57"/>
    </row>
    <row r="192" spans="2:7" ht="218.4" x14ac:dyDescent="0.25">
      <c r="B192" s="173"/>
      <c r="C192" s="39" t="s">
        <v>291</v>
      </c>
      <c r="D192" s="58" t="s">
        <v>42</v>
      </c>
      <c r="E192" s="56"/>
      <c r="F192" s="59">
        <v>1555400</v>
      </c>
      <c r="G192" s="57">
        <v>1555400</v>
      </c>
    </row>
    <row r="193" spans="2:7" ht="46.8" x14ac:dyDescent="0.25">
      <c r="B193" s="21" t="s">
        <v>292</v>
      </c>
      <c r="C193" s="9" t="s">
        <v>293</v>
      </c>
      <c r="D193" s="24"/>
      <c r="E193" s="24"/>
      <c r="F193" s="24"/>
      <c r="G193" s="24"/>
    </row>
    <row r="194" spans="2:7" ht="140.4" x14ac:dyDescent="0.25">
      <c r="B194" s="21"/>
      <c r="C194" s="9" t="s">
        <v>294</v>
      </c>
      <c r="D194" s="58" t="s">
        <v>42</v>
      </c>
      <c r="E194" s="22"/>
      <c r="F194" s="59">
        <f>404000*1.1</f>
        <v>444400.00000000006</v>
      </c>
      <c r="G194" s="59">
        <f>F194</f>
        <v>444400.00000000006</v>
      </c>
    </row>
    <row r="195" spans="2:7" ht="22.8" x14ac:dyDescent="0.25">
      <c r="B195" s="174" t="s">
        <v>295</v>
      </c>
      <c r="C195" s="174"/>
      <c r="D195" s="174"/>
      <c r="E195" s="174"/>
      <c r="F195" s="174"/>
      <c r="G195" s="174"/>
    </row>
    <row r="196" spans="2:7" ht="303.75" customHeight="1" x14ac:dyDescent="0.25">
      <c r="B196" s="21" t="s">
        <v>296</v>
      </c>
      <c r="C196" s="60" t="s">
        <v>297</v>
      </c>
      <c r="D196" s="61" t="s">
        <v>298</v>
      </c>
      <c r="E196" s="53">
        <v>0</v>
      </c>
      <c r="F196" s="53">
        <v>13750</v>
      </c>
      <c r="G196" s="62">
        <v>13750</v>
      </c>
    </row>
    <row r="197" spans="2:7" ht="214.2" x14ac:dyDescent="0.25">
      <c r="B197" s="63" t="s">
        <v>299</v>
      </c>
      <c r="C197" s="64" t="s">
        <v>300</v>
      </c>
      <c r="D197" s="65" t="s">
        <v>301</v>
      </c>
      <c r="E197" s="66">
        <v>0</v>
      </c>
      <c r="F197" s="66">
        <v>99000</v>
      </c>
      <c r="G197" s="67">
        <v>99000</v>
      </c>
    </row>
    <row r="198" spans="2:7" ht="316.8" x14ac:dyDescent="0.25">
      <c r="B198" s="68" t="s">
        <v>302</v>
      </c>
      <c r="C198" s="69" t="s">
        <v>303</v>
      </c>
      <c r="D198" s="65" t="s">
        <v>298</v>
      </c>
      <c r="E198" s="66">
        <v>0</v>
      </c>
      <c r="F198" s="66">
        <v>200860</v>
      </c>
      <c r="G198" s="67">
        <v>200860</v>
      </c>
    </row>
    <row r="199" spans="2:7" ht="218.4" x14ac:dyDescent="0.3">
      <c r="B199" s="21" t="s">
        <v>304</v>
      </c>
      <c r="C199" s="70" t="s">
        <v>305</v>
      </c>
      <c r="D199" s="71" t="s">
        <v>301</v>
      </c>
      <c r="E199" s="72">
        <v>0</v>
      </c>
      <c r="F199" s="72">
        <v>3000</v>
      </c>
      <c r="G199" s="73">
        <v>3000</v>
      </c>
    </row>
    <row r="200" spans="2:7" ht="276" x14ac:dyDescent="0.25">
      <c r="B200" s="74" t="s">
        <v>306</v>
      </c>
      <c r="C200" s="75" t="s">
        <v>307</v>
      </c>
      <c r="D200" s="76" t="s">
        <v>301</v>
      </c>
      <c r="E200" s="77">
        <v>0</v>
      </c>
      <c r="F200" s="77">
        <v>337150</v>
      </c>
      <c r="G200" s="78">
        <v>337150</v>
      </c>
    </row>
    <row r="201" spans="2:7" ht="244.8" x14ac:dyDescent="0.25">
      <c r="B201" s="79" t="s">
        <v>308</v>
      </c>
      <c r="C201" s="80" t="s">
        <v>309</v>
      </c>
      <c r="D201" s="65" t="s">
        <v>310</v>
      </c>
      <c r="E201" s="66">
        <v>0</v>
      </c>
      <c r="F201" s="66">
        <v>750000</v>
      </c>
      <c r="G201" s="67">
        <v>750000</v>
      </c>
    </row>
    <row r="202" spans="2:7" ht="347.4" x14ac:dyDescent="0.25">
      <c r="B202" s="68" t="s">
        <v>311</v>
      </c>
      <c r="C202" s="81" t="s">
        <v>312</v>
      </c>
      <c r="D202" s="65" t="s">
        <v>313</v>
      </c>
      <c r="E202" s="66">
        <v>0</v>
      </c>
      <c r="F202" s="66">
        <v>1250000</v>
      </c>
      <c r="G202" s="67">
        <v>1250000</v>
      </c>
    </row>
    <row r="203" spans="2:7" ht="336" x14ac:dyDescent="0.25">
      <c r="B203" s="68" t="s">
        <v>314</v>
      </c>
      <c r="C203" s="81" t="s">
        <v>315</v>
      </c>
      <c r="D203" s="65" t="s">
        <v>310</v>
      </c>
      <c r="E203" s="66">
        <v>0</v>
      </c>
      <c r="F203" s="66">
        <v>1750000</v>
      </c>
      <c r="G203" s="67">
        <v>1750000</v>
      </c>
    </row>
    <row r="204" spans="2:7" ht="41.4" x14ac:dyDescent="0.25">
      <c r="B204" s="21" t="s">
        <v>316</v>
      </c>
      <c r="C204" s="82" t="s">
        <v>317</v>
      </c>
      <c r="D204" s="52" t="s">
        <v>318</v>
      </c>
      <c r="E204" s="53">
        <v>0</v>
      </c>
      <c r="F204" s="62">
        <v>5400</v>
      </c>
      <c r="G204" s="62">
        <v>5400</v>
      </c>
    </row>
    <row r="205" spans="2:7" ht="41.4" x14ac:dyDescent="0.25">
      <c r="B205" s="21" t="s">
        <v>319</v>
      </c>
      <c r="C205" s="82" t="s">
        <v>320</v>
      </c>
      <c r="D205" s="52" t="s">
        <v>318</v>
      </c>
      <c r="E205" s="53">
        <v>0</v>
      </c>
      <c r="F205" s="62">
        <v>2400</v>
      </c>
      <c r="G205" s="62">
        <v>2400</v>
      </c>
    </row>
    <row r="206" spans="2:7" ht="41.4" x14ac:dyDescent="0.25">
      <c r="B206" s="21" t="s">
        <v>321</v>
      </c>
      <c r="C206" s="83" t="s">
        <v>322</v>
      </c>
      <c r="D206" s="52" t="s">
        <v>318</v>
      </c>
      <c r="E206" s="53">
        <v>0</v>
      </c>
      <c r="F206" s="62">
        <v>9000</v>
      </c>
      <c r="G206" s="62">
        <v>9000</v>
      </c>
    </row>
    <row r="207" spans="2:7" ht="41.4" x14ac:dyDescent="0.25">
      <c r="B207" s="21" t="s">
        <v>323</v>
      </c>
      <c r="C207" s="83" t="s">
        <v>324</v>
      </c>
      <c r="D207" s="52" t="s">
        <v>318</v>
      </c>
      <c r="E207" s="53">
        <v>0</v>
      </c>
      <c r="F207" s="62">
        <v>12000</v>
      </c>
      <c r="G207" s="62">
        <v>12000</v>
      </c>
    </row>
    <row r="208" spans="2:7" ht="41.4" x14ac:dyDescent="0.25">
      <c r="B208" s="21" t="s">
        <v>325</v>
      </c>
      <c r="C208" s="82" t="s">
        <v>326</v>
      </c>
      <c r="D208" s="52" t="s">
        <v>318</v>
      </c>
      <c r="E208" s="53">
        <v>0</v>
      </c>
      <c r="F208" s="62">
        <v>3240</v>
      </c>
      <c r="G208" s="62">
        <v>3240</v>
      </c>
    </row>
    <row r="209" spans="2:7" ht="41.4" x14ac:dyDescent="0.25">
      <c r="B209" s="21" t="s">
        <v>327</v>
      </c>
      <c r="C209" s="82" t="s">
        <v>328</v>
      </c>
      <c r="D209" s="52" t="s">
        <v>318</v>
      </c>
      <c r="E209" s="53">
        <v>0</v>
      </c>
      <c r="F209" s="62">
        <v>960</v>
      </c>
      <c r="G209" s="62">
        <v>960</v>
      </c>
    </row>
    <row r="210" spans="2:7" ht="41.4" x14ac:dyDescent="0.25">
      <c r="B210" s="21" t="s">
        <v>329</v>
      </c>
      <c r="C210" s="84" t="s">
        <v>330</v>
      </c>
      <c r="D210" s="52" t="s">
        <v>318</v>
      </c>
      <c r="E210" s="53">
        <v>0</v>
      </c>
      <c r="F210" s="62">
        <v>600</v>
      </c>
      <c r="G210" s="62">
        <v>600</v>
      </c>
    </row>
    <row r="211" spans="2:7" ht="41.4" x14ac:dyDescent="0.25">
      <c r="B211" s="54" t="s">
        <v>331</v>
      </c>
      <c r="C211" s="82" t="s">
        <v>332</v>
      </c>
      <c r="D211" s="52" t="s">
        <v>318</v>
      </c>
      <c r="E211" s="53">
        <v>0</v>
      </c>
      <c r="F211" s="62">
        <v>240</v>
      </c>
      <c r="G211" s="62">
        <v>240</v>
      </c>
    </row>
    <row r="212" spans="2:7" ht="41.4" x14ac:dyDescent="0.25">
      <c r="B212" s="21" t="s">
        <v>333</v>
      </c>
      <c r="C212" s="82" t="s">
        <v>334</v>
      </c>
      <c r="D212" s="52" t="s">
        <v>318</v>
      </c>
      <c r="E212" s="53">
        <v>0</v>
      </c>
      <c r="F212" s="62">
        <v>240</v>
      </c>
      <c r="G212" s="62">
        <v>240</v>
      </c>
    </row>
    <row r="213" spans="2:7" ht="41.4" x14ac:dyDescent="0.25">
      <c r="B213" s="21" t="s">
        <v>335</v>
      </c>
      <c r="C213" s="82" t="s">
        <v>336</v>
      </c>
      <c r="D213" s="52" t="s">
        <v>318</v>
      </c>
      <c r="E213" s="53">
        <v>0</v>
      </c>
      <c r="F213" s="62">
        <v>240</v>
      </c>
      <c r="G213" s="62">
        <v>240</v>
      </c>
    </row>
    <row r="214" spans="2:7" ht="93.6" x14ac:dyDescent="0.25">
      <c r="B214" s="21" t="s">
        <v>337</v>
      </c>
      <c r="C214" s="84" t="s">
        <v>338</v>
      </c>
      <c r="D214" s="52" t="s">
        <v>339</v>
      </c>
      <c r="E214" s="53">
        <v>0</v>
      </c>
      <c r="F214" s="62">
        <v>12000</v>
      </c>
      <c r="G214" s="62">
        <v>12000</v>
      </c>
    </row>
    <row r="215" spans="2:7" ht="46.8" x14ac:dyDescent="0.25">
      <c r="B215" s="21" t="s">
        <v>340</v>
      </c>
      <c r="C215" s="65" t="s">
        <v>341</v>
      </c>
      <c r="D215" s="52" t="s">
        <v>339</v>
      </c>
      <c r="E215" s="53">
        <v>0</v>
      </c>
      <c r="F215" s="62">
        <v>30</v>
      </c>
      <c r="G215" s="62">
        <v>30</v>
      </c>
    </row>
    <row r="216" spans="2:7" ht="93.6" x14ac:dyDescent="0.25">
      <c r="B216" s="21" t="s">
        <v>342</v>
      </c>
      <c r="C216" s="82" t="s">
        <v>343</v>
      </c>
      <c r="D216" s="52" t="s">
        <v>318</v>
      </c>
      <c r="E216" s="53">
        <v>0</v>
      </c>
      <c r="F216" s="53">
        <v>4350</v>
      </c>
      <c r="G216" s="62">
        <v>4350</v>
      </c>
    </row>
    <row r="217" spans="2:7" ht="288" x14ac:dyDescent="0.25">
      <c r="B217" s="63" t="s">
        <v>344</v>
      </c>
      <c r="C217" s="85" t="s">
        <v>345</v>
      </c>
      <c r="D217" s="86" t="s">
        <v>346</v>
      </c>
      <c r="E217" s="66">
        <v>0</v>
      </c>
      <c r="F217" s="67">
        <v>1850000</v>
      </c>
      <c r="G217" s="87">
        <v>1850000</v>
      </c>
    </row>
    <row r="218" spans="2:7" ht="187.2" x14ac:dyDescent="0.25">
      <c r="B218" s="21" t="s">
        <v>347</v>
      </c>
      <c r="C218" s="48" t="s">
        <v>348</v>
      </c>
      <c r="D218" s="88" t="s">
        <v>349</v>
      </c>
      <c r="E218" s="89">
        <v>0</v>
      </c>
      <c r="F218" s="89">
        <v>31500</v>
      </c>
      <c r="G218" s="89">
        <v>31500</v>
      </c>
    </row>
    <row r="219" spans="2:7" ht="312" x14ac:dyDescent="0.25">
      <c r="B219" s="21" t="s">
        <v>350</v>
      </c>
      <c r="C219" s="48" t="s">
        <v>351</v>
      </c>
      <c r="D219" s="88" t="s">
        <v>310</v>
      </c>
      <c r="E219" s="89">
        <v>0</v>
      </c>
      <c r="F219" s="89">
        <v>57750</v>
      </c>
      <c r="G219" s="89">
        <v>57750</v>
      </c>
    </row>
    <row r="220" spans="2:7" ht="306" x14ac:dyDescent="0.25">
      <c r="B220" s="90" t="s">
        <v>352</v>
      </c>
      <c r="C220" s="91" t="s">
        <v>353</v>
      </c>
      <c r="D220" s="88"/>
      <c r="E220" s="92">
        <v>0</v>
      </c>
      <c r="F220" s="93">
        <v>325000</v>
      </c>
      <c r="G220" s="92">
        <f t="shared" ref="G220:G224" si="12">(F220+E220)</f>
        <v>325000</v>
      </c>
    </row>
    <row r="221" spans="2:7" ht="244.8" x14ac:dyDescent="0.25">
      <c r="B221" s="90" t="s">
        <v>354</v>
      </c>
      <c r="C221" s="94" t="s">
        <v>355</v>
      </c>
      <c r="D221" s="88"/>
      <c r="E221" s="89">
        <v>0</v>
      </c>
      <c r="F221" s="93">
        <v>500000</v>
      </c>
      <c r="G221" s="89">
        <f t="shared" si="12"/>
        <v>500000</v>
      </c>
    </row>
    <row r="222" spans="2:7" ht="216" x14ac:dyDescent="0.25">
      <c r="B222" s="90" t="s">
        <v>356</v>
      </c>
      <c r="C222" s="94" t="s">
        <v>357</v>
      </c>
      <c r="D222" s="88"/>
      <c r="E222" s="89">
        <v>0</v>
      </c>
      <c r="F222" s="93">
        <v>125000</v>
      </c>
      <c r="G222" s="89">
        <f t="shared" si="12"/>
        <v>125000</v>
      </c>
    </row>
    <row r="223" spans="2:7" ht="358.8" x14ac:dyDescent="0.25">
      <c r="B223" s="90" t="s">
        <v>358</v>
      </c>
      <c r="C223" s="95" t="s">
        <v>359</v>
      </c>
      <c r="D223" s="88"/>
      <c r="E223" s="89">
        <v>0</v>
      </c>
      <c r="F223" s="93">
        <v>200000</v>
      </c>
      <c r="G223" s="92">
        <f t="shared" si="12"/>
        <v>200000</v>
      </c>
    </row>
    <row r="224" spans="2:7" ht="230.4" x14ac:dyDescent="0.25">
      <c r="B224" s="90" t="s">
        <v>360</v>
      </c>
      <c r="C224" s="94" t="s">
        <v>361</v>
      </c>
      <c r="D224" s="88"/>
      <c r="E224" s="92">
        <v>0</v>
      </c>
      <c r="F224" s="93">
        <v>300000</v>
      </c>
      <c r="G224" s="92">
        <f t="shared" si="12"/>
        <v>300000</v>
      </c>
    </row>
  </sheetData>
  <mergeCells count="20">
    <mergeCell ref="B190:B192"/>
    <mergeCell ref="B195:G195"/>
    <mergeCell ref="C14:G14"/>
    <mergeCell ref="C15:G15"/>
    <mergeCell ref="B133:G133"/>
    <mergeCell ref="B153:G153"/>
    <mergeCell ref="B168:G168"/>
    <mergeCell ref="B189:G189"/>
    <mergeCell ref="C13:G13"/>
    <mergeCell ref="B2:G2"/>
    <mergeCell ref="B3:G3"/>
    <mergeCell ref="B4:G4"/>
    <mergeCell ref="C5:G5"/>
    <mergeCell ref="C6:G6"/>
    <mergeCell ref="C7:G7"/>
    <mergeCell ref="C8:G8"/>
    <mergeCell ref="C9:G9"/>
    <mergeCell ref="C10:G10"/>
    <mergeCell ref="C11:G11"/>
    <mergeCell ref="C12:G12"/>
  </mergeCells>
  <pageMargins left="0.5" right="0" top="0.75" bottom="0.75" header="0.3" footer="0.3"/>
  <pageSetup paperSize="9" orientation="portrait" r:id="rId1"/>
  <rowBreaks count="3" manualBreakCount="3">
    <brk id="152" min="1" max="6" man="1"/>
    <brk id="167" min="1" max="6" man="1"/>
    <brk id="194" min="1"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24"/>
  <sheetViews>
    <sheetView view="pageBreakPreview" topLeftCell="A19" zoomScale="68" workbookViewId="0">
      <selection activeCell="K10" sqref="K10"/>
    </sheetView>
  </sheetViews>
  <sheetFormatPr defaultColWidth="9.109375" defaultRowHeight="13.2" x14ac:dyDescent="0.25"/>
  <cols>
    <col min="1" max="1" width="9.109375" style="1"/>
    <col min="2" max="2" width="9.88671875" style="1" customWidth="1"/>
    <col min="3" max="3" width="43.33203125" style="1" customWidth="1"/>
    <col min="4" max="4" width="7.109375" style="1" customWidth="1"/>
    <col min="5" max="5" width="12.88671875" style="1" customWidth="1"/>
    <col min="6" max="6" width="12" style="1" customWidth="1"/>
    <col min="7" max="7" width="14.109375" style="1" customWidth="1"/>
    <col min="8" max="16384" width="9.109375" style="1"/>
  </cols>
  <sheetData>
    <row r="2" spans="2:7" ht="54.9" customHeight="1" x14ac:dyDescent="0.25">
      <c r="B2" s="169" t="s">
        <v>0</v>
      </c>
      <c r="C2" s="170"/>
      <c r="D2" s="170"/>
      <c r="E2" s="170"/>
      <c r="F2" s="170"/>
      <c r="G2" s="170"/>
    </row>
    <row r="3" spans="2:7" ht="20.399999999999999" x14ac:dyDescent="0.25">
      <c r="B3" s="171" t="s">
        <v>1</v>
      </c>
      <c r="C3" s="171"/>
      <c r="D3" s="171"/>
      <c r="E3" s="171"/>
      <c r="F3" s="171"/>
      <c r="G3" s="171"/>
    </row>
    <row r="4" spans="2:7" ht="20.399999999999999" x14ac:dyDescent="0.25">
      <c r="B4" s="172" t="s">
        <v>2</v>
      </c>
      <c r="C4" s="172"/>
      <c r="D4" s="172"/>
      <c r="E4" s="172"/>
      <c r="F4" s="172"/>
      <c r="G4" s="172"/>
    </row>
    <row r="5" spans="2:7" ht="104.1" customHeight="1" x14ac:dyDescent="0.25">
      <c r="B5" s="2">
        <v>1</v>
      </c>
      <c r="C5" s="168" t="s">
        <v>3</v>
      </c>
      <c r="D5" s="168"/>
      <c r="E5" s="168"/>
      <c r="F5" s="168"/>
      <c r="G5" s="168"/>
    </row>
    <row r="6" spans="2:7" ht="80.099999999999994" customHeight="1" x14ac:dyDescent="0.25">
      <c r="B6" s="2">
        <v>2</v>
      </c>
      <c r="C6" s="168" t="s">
        <v>4</v>
      </c>
      <c r="D6" s="168"/>
      <c r="E6" s="168"/>
      <c r="F6" s="168"/>
      <c r="G6" s="168"/>
    </row>
    <row r="7" spans="2:7" ht="66" customHeight="1" x14ac:dyDescent="0.25">
      <c r="B7" s="2">
        <v>3</v>
      </c>
      <c r="C7" s="168" t="s">
        <v>5</v>
      </c>
      <c r="D7" s="168"/>
      <c r="E7" s="168"/>
      <c r="F7" s="168"/>
      <c r="G7" s="168"/>
    </row>
    <row r="8" spans="2:7" ht="65.099999999999994" customHeight="1" x14ac:dyDescent="0.25">
      <c r="B8" s="2">
        <v>4</v>
      </c>
      <c r="C8" s="168" t="s">
        <v>6</v>
      </c>
      <c r="D8" s="168"/>
      <c r="E8" s="168"/>
      <c r="F8" s="168"/>
      <c r="G8" s="168"/>
    </row>
    <row r="9" spans="2:7" ht="108" customHeight="1" x14ac:dyDescent="0.25">
      <c r="B9" s="2">
        <v>5</v>
      </c>
      <c r="C9" s="168" t="s">
        <v>7</v>
      </c>
      <c r="D9" s="168"/>
      <c r="E9" s="168"/>
      <c r="F9" s="168"/>
      <c r="G9" s="168"/>
    </row>
    <row r="10" spans="2:7" ht="80.099999999999994" customHeight="1" x14ac:dyDescent="0.25">
      <c r="B10" s="2">
        <v>6</v>
      </c>
      <c r="C10" s="168" t="s">
        <v>8</v>
      </c>
      <c r="D10" s="168"/>
      <c r="E10" s="168"/>
      <c r="F10" s="168"/>
      <c r="G10" s="168"/>
    </row>
    <row r="11" spans="2:7" ht="53.1" customHeight="1" x14ac:dyDescent="0.25">
      <c r="B11" s="2">
        <v>7</v>
      </c>
      <c r="C11" s="168" t="s">
        <v>9</v>
      </c>
      <c r="D11" s="168"/>
      <c r="E11" s="168"/>
      <c r="F11" s="168"/>
      <c r="G11" s="168"/>
    </row>
    <row r="12" spans="2:7" ht="63" customHeight="1" x14ac:dyDescent="0.25">
      <c r="B12" s="2">
        <v>8</v>
      </c>
      <c r="C12" s="168" t="s">
        <v>10</v>
      </c>
      <c r="D12" s="168"/>
      <c r="E12" s="168"/>
      <c r="F12" s="168"/>
      <c r="G12" s="168"/>
    </row>
    <row r="13" spans="2:7" ht="51" customHeight="1" x14ac:dyDescent="0.25">
      <c r="B13" s="2">
        <v>9</v>
      </c>
      <c r="C13" s="168" t="s">
        <v>11</v>
      </c>
      <c r="D13" s="168"/>
      <c r="E13" s="168"/>
      <c r="F13" s="168"/>
      <c r="G13" s="168"/>
    </row>
    <row r="14" spans="2:7" ht="44.1" customHeight="1" x14ac:dyDescent="0.25">
      <c r="B14" s="2">
        <v>10</v>
      </c>
      <c r="C14" s="168" t="s">
        <v>12</v>
      </c>
      <c r="D14" s="168"/>
      <c r="E14" s="168"/>
      <c r="F14" s="168"/>
      <c r="G14" s="168"/>
    </row>
    <row r="15" spans="2:7" ht="68.099999999999994" customHeight="1" x14ac:dyDescent="0.25">
      <c r="B15" s="2">
        <v>11</v>
      </c>
      <c r="C15" s="168" t="s">
        <v>13</v>
      </c>
      <c r="D15" s="168"/>
      <c r="E15" s="168"/>
      <c r="F15" s="168"/>
      <c r="G15" s="168"/>
    </row>
    <row r="16" spans="2:7" ht="62.4" x14ac:dyDescent="0.25">
      <c r="B16" s="3" t="s">
        <v>14</v>
      </c>
      <c r="C16" s="4" t="s">
        <v>15</v>
      </c>
      <c r="D16" s="5"/>
      <c r="E16" s="6"/>
      <c r="F16" s="6"/>
      <c r="G16" s="7"/>
    </row>
    <row r="17" spans="2:7" ht="46.8" x14ac:dyDescent="0.25">
      <c r="B17" s="8"/>
      <c r="C17" s="9" t="s">
        <v>16</v>
      </c>
      <c r="D17" s="5" t="s">
        <v>17</v>
      </c>
      <c r="E17" s="6">
        <v>0</v>
      </c>
      <c r="F17" s="7">
        <v>21</v>
      </c>
      <c r="G17" s="7">
        <f t="shared" ref="G17:G27" si="0">+E17+F17</f>
        <v>21</v>
      </c>
    </row>
    <row r="18" spans="2:7" ht="46.8" x14ac:dyDescent="0.25">
      <c r="B18" s="8"/>
      <c r="C18" s="9" t="s">
        <v>18</v>
      </c>
      <c r="D18" s="5" t="s">
        <v>17</v>
      </c>
      <c r="E18" s="6">
        <v>0</v>
      </c>
      <c r="F18" s="7">
        <v>3</v>
      </c>
      <c r="G18" s="7">
        <f t="shared" si="0"/>
        <v>3</v>
      </c>
    </row>
    <row r="19" spans="2:7" ht="46.8" x14ac:dyDescent="0.25">
      <c r="B19" s="8"/>
      <c r="C19" s="9" t="s">
        <v>19</v>
      </c>
      <c r="D19" s="5" t="s">
        <v>17</v>
      </c>
      <c r="E19" s="6">
        <v>0</v>
      </c>
      <c r="F19" s="7">
        <v>7</v>
      </c>
      <c r="G19" s="7">
        <f t="shared" si="0"/>
        <v>7</v>
      </c>
    </row>
    <row r="20" spans="2:7" ht="46.8" x14ac:dyDescent="0.25">
      <c r="B20" s="8"/>
      <c r="C20" s="9" t="s">
        <v>20</v>
      </c>
      <c r="D20" s="5" t="s">
        <v>21</v>
      </c>
      <c r="E20" s="6">
        <v>0</v>
      </c>
      <c r="F20" s="7">
        <v>1</v>
      </c>
      <c r="G20" s="7">
        <f t="shared" si="0"/>
        <v>1</v>
      </c>
    </row>
    <row r="21" spans="2:7" ht="46.8" x14ac:dyDescent="0.25">
      <c r="B21" s="8"/>
      <c r="C21" s="9" t="s">
        <v>22</v>
      </c>
      <c r="D21" s="5" t="s">
        <v>23</v>
      </c>
      <c r="E21" s="6">
        <v>0</v>
      </c>
      <c r="F21" s="7">
        <v>250</v>
      </c>
      <c r="G21" s="7">
        <f t="shared" si="0"/>
        <v>250</v>
      </c>
    </row>
    <row r="22" spans="2:7" ht="93.6" x14ac:dyDescent="0.25">
      <c r="B22" s="3" t="s">
        <v>24</v>
      </c>
      <c r="C22" s="4" t="s">
        <v>25</v>
      </c>
      <c r="D22" s="5" t="s">
        <v>26</v>
      </c>
      <c r="E22" s="6">
        <v>0</v>
      </c>
      <c r="F22" s="6">
        <v>3</v>
      </c>
      <c r="G22" s="7">
        <f t="shared" si="0"/>
        <v>3</v>
      </c>
    </row>
    <row r="23" spans="2:7" ht="62.4" x14ac:dyDescent="0.25">
      <c r="B23" s="3" t="s">
        <v>27</v>
      </c>
      <c r="C23" s="4" t="s">
        <v>28</v>
      </c>
      <c r="D23" s="5" t="s">
        <v>26</v>
      </c>
      <c r="E23" s="6">
        <v>0</v>
      </c>
      <c r="F23" s="6">
        <v>20</v>
      </c>
      <c r="G23" s="7">
        <f t="shared" si="0"/>
        <v>20</v>
      </c>
    </row>
    <row r="24" spans="2:7" ht="31.2" x14ac:dyDescent="0.25">
      <c r="B24" s="3" t="s">
        <v>29</v>
      </c>
      <c r="C24" s="4" t="s">
        <v>30</v>
      </c>
      <c r="D24" s="5" t="s">
        <v>31</v>
      </c>
      <c r="E24" s="6">
        <v>0</v>
      </c>
      <c r="F24" s="6">
        <v>13</v>
      </c>
      <c r="G24" s="7">
        <f t="shared" si="0"/>
        <v>13</v>
      </c>
    </row>
    <row r="25" spans="2:7" ht="93.6" x14ac:dyDescent="0.25">
      <c r="B25" s="3" t="s">
        <v>32</v>
      </c>
      <c r="C25" s="4" t="s">
        <v>33</v>
      </c>
      <c r="D25" s="5" t="s">
        <v>34</v>
      </c>
      <c r="E25" s="6">
        <v>0</v>
      </c>
      <c r="F25" s="6">
        <v>17</v>
      </c>
      <c r="G25" s="7">
        <f t="shared" si="0"/>
        <v>17</v>
      </c>
    </row>
    <row r="26" spans="2:7" ht="109.2" x14ac:dyDescent="0.25">
      <c r="B26" s="3" t="s">
        <v>35</v>
      </c>
      <c r="C26" s="4" t="s">
        <v>36</v>
      </c>
      <c r="D26" s="5" t="s">
        <v>34</v>
      </c>
      <c r="E26" s="6">
        <v>0</v>
      </c>
      <c r="F26" s="6">
        <v>60</v>
      </c>
      <c r="G26" s="7">
        <f t="shared" si="0"/>
        <v>60</v>
      </c>
    </row>
    <row r="27" spans="2:7" ht="78" x14ac:dyDescent="0.25">
      <c r="B27" s="3" t="s">
        <v>37</v>
      </c>
      <c r="C27" s="9" t="s">
        <v>38</v>
      </c>
      <c r="D27" s="5" t="s">
        <v>34</v>
      </c>
      <c r="E27" s="6">
        <v>0</v>
      </c>
      <c r="F27" s="6">
        <v>80</v>
      </c>
      <c r="G27" s="7">
        <f t="shared" si="0"/>
        <v>80</v>
      </c>
    </row>
    <row r="28" spans="2:7" ht="140.4" x14ac:dyDescent="0.25">
      <c r="B28" s="3" t="s">
        <v>39</v>
      </c>
      <c r="C28" s="4" t="s">
        <v>40</v>
      </c>
      <c r="D28" s="10"/>
      <c r="E28" s="6"/>
      <c r="F28" s="6"/>
      <c r="G28" s="11"/>
    </row>
    <row r="29" spans="2:7" ht="41.4" x14ac:dyDescent="0.25">
      <c r="B29" s="8"/>
      <c r="C29" s="9" t="s">
        <v>41</v>
      </c>
      <c r="D29" s="10" t="s">
        <v>42</v>
      </c>
      <c r="E29" s="6">
        <v>0</v>
      </c>
      <c r="F29" s="11">
        <v>193</v>
      </c>
      <c r="G29" s="11">
        <v>193</v>
      </c>
    </row>
    <row r="30" spans="2:7" ht="41.4" x14ac:dyDescent="0.25">
      <c r="B30" s="8"/>
      <c r="C30" s="9" t="s">
        <v>43</v>
      </c>
      <c r="D30" s="10" t="s">
        <v>42</v>
      </c>
      <c r="E30" s="6">
        <v>0</v>
      </c>
      <c r="F30" s="11">
        <v>270</v>
      </c>
      <c r="G30" s="11">
        <v>270</v>
      </c>
    </row>
    <row r="31" spans="2:7" ht="41.4" x14ac:dyDescent="0.25">
      <c r="B31" s="8"/>
      <c r="C31" s="9" t="s">
        <v>44</v>
      </c>
      <c r="D31" s="10" t="s">
        <v>42</v>
      </c>
      <c r="E31" s="6">
        <v>0</v>
      </c>
      <c r="F31" s="11">
        <v>300</v>
      </c>
      <c r="G31" s="11">
        <v>300</v>
      </c>
    </row>
    <row r="32" spans="2:7" ht="41.4" x14ac:dyDescent="0.25">
      <c r="B32" s="8"/>
      <c r="C32" s="9" t="s">
        <v>45</v>
      </c>
      <c r="D32" s="10" t="s">
        <v>42</v>
      </c>
      <c r="E32" s="6">
        <v>0</v>
      </c>
      <c r="F32" s="11">
        <v>483</v>
      </c>
      <c r="G32" s="11">
        <v>483</v>
      </c>
    </row>
    <row r="33" spans="2:7" ht="93.6" x14ac:dyDescent="0.25">
      <c r="B33" s="3" t="s">
        <v>46</v>
      </c>
      <c r="C33" s="4" t="s">
        <v>47</v>
      </c>
      <c r="D33" s="10"/>
      <c r="E33" s="6"/>
      <c r="F33" s="12"/>
      <c r="G33" s="11"/>
    </row>
    <row r="34" spans="2:7" ht="41.4" x14ac:dyDescent="0.25">
      <c r="B34" s="8"/>
      <c r="C34" s="9" t="s">
        <v>48</v>
      </c>
      <c r="D34" s="10" t="s">
        <v>42</v>
      </c>
      <c r="E34" s="6">
        <v>0</v>
      </c>
      <c r="F34" s="11">
        <v>115</v>
      </c>
      <c r="G34" s="11">
        <v>115</v>
      </c>
    </row>
    <row r="35" spans="2:7" ht="41.4" x14ac:dyDescent="0.25">
      <c r="B35" s="8"/>
      <c r="C35" s="9" t="s">
        <v>49</v>
      </c>
      <c r="D35" s="10" t="s">
        <v>42</v>
      </c>
      <c r="E35" s="6">
        <v>0</v>
      </c>
      <c r="F35" s="11">
        <v>138</v>
      </c>
      <c r="G35" s="11">
        <v>138</v>
      </c>
    </row>
    <row r="36" spans="2:7" ht="41.4" x14ac:dyDescent="0.25">
      <c r="B36" s="8"/>
      <c r="C36" s="9" t="s">
        <v>50</v>
      </c>
      <c r="D36" s="10" t="s">
        <v>42</v>
      </c>
      <c r="E36" s="6">
        <v>0</v>
      </c>
      <c r="F36" s="11">
        <v>174</v>
      </c>
      <c r="G36" s="11">
        <v>174</v>
      </c>
    </row>
    <row r="37" spans="2:7" ht="41.4" x14ac:dyDescent="0.25">
      <c r="B37" s="8"/>
      <c r="C37" s="9" t="s">
        <v>51</v>
      </c>
      <c r="D37" s="10" t="s">
        <v>42</v>
      </c>
      <c r="E37" s="6">
        <v>0</v>
      </c>
      <c r="F37" s="11">
        <v>269</v>
      </c>
      <c r="G37" s="11">
        <v>269</v>
      </c>
    </row>
    <row r="38" spans="2:7" ht="46.8" x14ac:dyDescent="0.25">
      <c r="B38" s="3" t="s">
        <v>52</v>
      </c>
      <c r="C38" s="4" t="s">
        <v>53</v>
      </c>
      <c r="D38" s="10" t="s">
        <v>42</v>
      </c>
      <c r="E38" s="6">
        <v>0</v>
      </c>
      <c r="F38" s="11">
        <v>176</v>
      </c>
      <c r="G38" s="11">
        <v>176</v>
      </c>
    </row>
    <row r="39" spans="2:7" ht="93.6" x14ac:dyDescent="0.25">
      <c r="B39" s="3" t="s">
        <v>54</v>
      </c>
      <c r="C39" s="4" t="s">
        <v>55</v>
      </c>
      <c r="D39" s="10"/>
      <c r="E39" s="6"/>
      <c r="F39" s="12"/>
      <c r="G39" s="11"/>
    </row>
    <row r="40" spans="2:7" ht="41.4" x14ac:dyDescent="0.25">
      <c r="B40" s="8"/>
      <c r="C40" s="9" t="s">
        <v>56</v>
      </c>
      <c r="D40" s="10" t="s">
        <v>42</v>
      </c>
      <c r="E40" s="6">
        <v>0</v>
      </c>
      <c r="F40" s="11">
        <f>9500*1.1</f>
        <v>10450</v>
      </c>
      <c r="G40" s="11">
        <f t="shared" ref="G40:G43" si="1">F40</f>
        <v>10450</v>
      </c>
    </row>
    <row r="41" spans="2:7" ht="41.4" x14ac:dyDescent="0.25">
      <c r="B41" s="8"/>
      <c r="C41" s="9" t="s">
        <v>57</v>
      </c>
      <c r="D41" s="10" t="s">
        <v>42</v>
      </c>
      <c r="E41" s="6">
        <v>0</v>
      </c>
      <c r="F41" s="11">
        <f>15500*1.1</f>
        <v>17050</v>
      </c>
      <c r="G41" s="11">
        <f t="shared" si="1"/>
        <v>17050</v>
      </c>
    </row>
    <row r="42" spans="2:7" ht="124.8" x14ac:dyDescent="0.25">
      <c r="B42" s="3" t="s">
        <v>58</v>
      </c>
      <c r="C42" s="4" t="s">
        <v>59</v>
      </c>
      <c r="D42" s="10" t="s">
        <v>42</v>
      </c>
      <c r="E42" s="6">
        <v>0</v>
      </c>
      <c r="F42" s="11">
        <v>8250</v>
      </c>
      <c r="G42" s="11">
        <v>8250</v>
      </c>
    </row>
    <row r="43" spans="2:7" ht="78" x14ac:dyDescent="0.25">
      <c r="B43" s="3" t="s">
        <v>60</v>
      </c>
      <c r="C43" s="13" t="s">
        <v>61</v>
      </c>
      <c r="D43" s="10" t="s">
        <v>42</v>
      </c>
      <c r="E43" s="6">
        <v>0</v>
      </c>
      <c r="F43" s="6">
        <v>7500</v>
      </c>
      <c r="G43" s="11">
        <f t="shared" si="1"/>
        <v>7500</v>
      </c>
    </row>
    <row r="44" spans="2:7" ht="93.6" x14ac:dyDescent="0.25">
      <c r="B44" s="3" t="s">
        <v>62</v>
      </c>
      <c r="C44" s="13" t="s">
        <v>63</v>
      </c>
      <c r="D44" s="14"/>
      <c r="E44" s="6"/>
      <c r="F44" s="6"/>
      <c r="G44" s="11"/>
    </row>
    <row r="45" spans="2:7" ht="31.2" x14ac:dyDescent="0.25">
      <c r="B45" s="3" t="s">
        <v>64</v>
      </c>
      <c r="C45" s="13" t="s">
        <v>65</v>
      </c>
      <c r="D45" s="14" t="s">
        <v>66</v>
      </c>
      <c r="E45" s="6"/>
      <c r="F45" s="6">
        <v>1200</v>
      </c>
      <c r="G45" s="11">
        <v>1200</v>
      </c>
    </row>
    <row r="46" spans="2:7" ht="31.2" x14ac:dyDescent="0.25">
      <c r="B46" s="3" t="s">
        <v>67</v>
      </c>
      <c r="C46" s="13" t="s">
        <v>68</v>
      </c>
      <c r="D46" s="14" t="s">
        <v>66</v>
      </c>
      <c r="E46" s="6"/>
      <c r="F46" s="6">
        <v>1800</v>
      </c>
      <c r="G46" s="11">
        <v>1800</v>
      </c>
    </row>
    <row r="47" spans="2:7" ht="62.4" x14ac:dyDescent="0.25">
      <c r="B47" s="15" t="s">
        <v>69</v>
      </c>
      <c r="C47" s="13" t="s">
        <v>70</v>
      </c>
      <c r="D47" s="16" t="s">
        <v>34</v>
      </c>
      <c r="E47" s="17">
        <v>0</v>
      </c>
      <c r="F47" s="17">
        <v>80</v>
      </c>
      <c r="G47" s="18">
        <v>80</v>
      </c>
    </row>
    <row r="48" spans="2:7" ht="15.6" x14ac:dyDescent="0.25">
      <c r="B48" s="19"/>
      <c r="C48" s="20" t="s">
        <v>71</v>
      </c>
      <c r="D48" s="16"/>
      <c r="E48" s="17"/>
      <c r="F48" s="17"/>
      <c r="G48" s="18"/>
    </row>
    <row r="49" spans="2:7" ht="62.4" x14ac:dyDescent="0.25">
      <c r="B49" s="15" t="s">
        <v>72</v>
      </c>
      <c r="C49" s="13" t="s">
        <v>73</v>
      </c>
      <c r="D49" s="16" t="s">
        <v>34</v>
      </c>
      <c r="E49" s="17">
        <v>0</v>
      </c>
      <c r="F49" s="17">
        <f>230*1.25</f>
        <v>287.5</v>
      </c>
      <c r="G49" s="17">
        <f>F49</f>
        <v>287.5</v>
      </c>
    </row>
    <row r="50" spans="2:7" ht="62.4" x14ac:dyDescent="0.25">
      <c r="B50" s="15" t="s">
        <v>74</v>
      </c>
      <c r="C50" s="13" t="s">
        <v>75</v>
      </c>
      <c r="D50" s="16" t="s">
        <v>34</v>
      </c>
      <c r="E50" s="17">
        <v>0</v>
      </c>
      <c r="F50" s="17">
        <f>200*1.25</f>
        <v>250</v>
      </c>
      <c r="G50" s="17">
        <v>250</v>
      </c>
    </row>
    <row r="51" spans="2:7" ht="78" x14ac:dyDescent="0.25">
      <c r="B51" s="15" t="s">
        <v>76</v>
      </c>
      <c r="C51" s="13" t="s">
        <v>77</v>
      </c>
      <c r="D51" s="16" t="s">
        <v>34</v>
      </c>
      <c r="E51" s="17">
        <v>0</v>
      </c>
      <c r="F51" s="17">
        <f>400*1.25</f>
        <v>500</v>
      </c>
      <c r="G51" s="17">
        <v>500</v>
      </c>
    </row>
    <row r="52" spans="2:7" ht="15.6" x14ac:dyDescent="0.25">
      <c r="B52" s="21"/>
      <c r="C52" s="22"/>
      <c r="D52" s="23"/>
      <c r="E52" s="24"/>
      <c r="F52" s="24"/>
      <c r="G52" s="25"/>
    </row>
    <row r="53" spans="2:7" ht="46.8" x14ac:dyDescent="0.25">
      <c r="B53" s="3" t="s">
        <v>78</v>
      </c>
      <c r="C53" s="4" t="s">
        <v>79</v>
      </c>
      <c r="D53" s="5" t="s">
        <v>34</v>
      </c>
      <c r="E53" s="6">
        <v>0</v>
      </c>
      <c r="F53" s="6">
        <v>25</v>
      </c>
      <c r="G53" s="7">
        <v>25</v>
      </c>
    </row>
    <row r="54" spans="2:7" ht="62.4" x14ac:dyDescent="0.25">
      <c r="B54" s="3" t="s">
        <v>80</v>
      </c>
      <c r="C54" s="9" t="s">
        <v>81</v>
      </c>
      <c r="D54" s="5"/>
      <c r="E54" s="6"/>
      <c r="F54" s="6"/>
      <c r="G54" s="7"/>
    </row>
    <row r="55" spans="2:7" ht="46.8" x14ac:dyDescent="0.25">
      <c r="B55" s="8"/>
      <c r="C55" s="9" t="s">
        <v>82</v>
      </c>
      <c r="D55" s="5" t="s">
        <v>34</v>
      </c>
      <c r="E55" s="6">
        <v>0</v>
      </c>
      <c r="F55" s="7">
        <v>31</v>
      </c>
      <c r="G55" s="7">
        <f t="shared" ref="G55:G75" si="2">+F55</f>
        <v>31</v>
      </c>
    </row>
    <row r="56" spans="2:7" ht="46.8" x14ac:dyDescent="0.25">
      <c r="B56" s="8"/>
      <c r="C56" s="9" t="s">
        <v>83</v>
      </c>
      <c r="D56" s="5" t="s">
        <v>34</v>
      </c>
      <c r="E56" s="6">
        <v>0</v>
      </c>
      <c r="F56" s="7">
        <v>40</v>
      </c>
      <c r="G56" s="7">
        <f t="shared" si="2"/>
        <v>40</v>
      </c>
    </row>
    <row r="57" spans="2:7" ht="46.8" x14ac:dyDescent="0.25">
      <c r="B57" s="8"/>
      <c r="C57" s="9" t="s">
        <v>84</v>
      </c>
      <c r="D57" s="5" t="s">
        <v>34</v>
      </c>
      <c r="E57" s="6">
        <v>0</v>
      </c>
      <c r="F57" s="7">
        <v>80</v>
      </c>
      <c r="G57" s="7">
        <f t="shared" si="2"/>
        <v>80</v>
      </c>
    </row>
    <row r="58" spans="2:7" ht="46.8" x14ac:dyDescent="0.25">
      <c r="B58" s="8"/>
      <c r="C58" s="9" t="s">
        <v>85</v>
      </c>
      <c r="D58" s="5" t="s">
        <v>34</v>
      </c>
      <c r="E58" s="6">
        <v>0</v>
      </c>
      <c r="F58" s="7">
        <v>250</v>
      </c>
      <c r="G58" s="7">
        <f t="shared" si="2"/>
        <v>250</v>
      </c>
    </row>
    <row r="59" spans="2:7" ht="46.8" x14ac:dyDescent="0.25">
      <c r="B59" s="8"/>
      <c r="C59" s="9" t="s">
        <v>86</v>
      </c>
      <c r="D59" s="5" t="s">
        <v>34</v>
      </c>
      <c r="E59" s="6">
        <v>0</v>
      </c>
      <c r="F59" s="7">
        <v>120</v>
      </c>
      <c r="G59" s="7">
        <f t="shared" si="2"/>
        <v>120</v>
      </c>
    </row>
    <row r="60" spans="2:7" ht="46.8" x14ac:dyDescent="0.25">
      <c r="B60" s="8"/>
      <c r="C60" s="9" t="s">
        <v>87</v>
      </c>
      <c r="D60" s="5" t="s">
        <v>34</v>
      </c>
      <c r="E60" s="6">
        <v>0</v>
      </c>
      <c r="F60" s="7">
        <v>150</v>
      </c>
      <c r="G60" s="7">
        <f t="shared" si="2"/>
        <v>150</v>
      </c>
    </row>
    <row r="61" spans="2:7" ht="46.8" x14ac:dyDescent="0.25">
      <c r="B61" s="8"/>
      <c r="C61" s="9" t="s">
        <v>88</v>
      </c>
      <c r="D61" s="5" t="s">
        <v>34</v>
      </c>
      <c r="E61" s="6">
        <v>0</v>
      </c>
      <c r="F61" s="7">
        <v>208</v>
      </c>
      <c r="G61" s="7">
        <f t="shared" si="2"/>
        <v>208</v>
      </c>
    </row>
    <row r="62" spans="2:7" ht="46.8" x14ac:dyDescent="0.25">
      <c r="B62" s="8"/>
      <c r="C62" s="9" t="s">
        <v>89</v>
      </c>
      <c r="D62" s="5" t="s">
        <v>34</v>
      </c>
      <c r="E62" s="6">
        <v>0</v>
      </c>
      <c r="F62" s="7">
        <v>245</v>
      </c>
      <c r="G62" s="7">
        <f t="shared" si="2"/>
        <v>245</v>
      </c>
    </row>
    <row r="63" spans="2:7" ht="46.8" x14ac:dyDescent="0.25">
      <c r="B63" s="8"/>
      <c r="C63" s="9" t="s">
        <v>90</v>
      </c>
      <c r="D63" s="5" t="s">
        <v>34</v>
      </c>
      <c r="E63" s="6">
        <v>0</v>
      </c>
      <c r="F63" s="7">
        <v>60</v>
      </c>
      <c r="G63" s="7">
        <f t="shared" si="2"/>
        <v>60</v>
      </c>
    </row>
    <row r="64" spans="2:7" ht="46.8" x14ac:dyDescent="0.25">
      <c r="B64" s="8"/>
      <c r="C64" s="9" t="s">
        <v>91</v>
      </c>
      <c r="D64" s="5" t="s">
        <v>34</v>
      </c>
      <c r="E64" s="6">
        <v>0</v>
      </c>
      <c r="F64" s="7">
        <v>170</v>
      </c>
      <c r="G64" s="7">
        <f t="shared" si="2"/>
        <v>170</v>
      </c>
    </row>
    <row r="65" spans="2:7" ht="46.8" x14ac:dyDescent="0.25">
      <c r="B65" s="8"/>
      <c r="C65" s="9" t="s">
        <v>92</v>
      </c>
      <c r="D65" s="5" t="s">
        <v>34</v>
      </c>
      <c r="E65" s="6">
        <v>0</v>
      </c>
      <c r="F65" s="7">
        <v>280</v>
      </c>
      <c r="G65" s="7">
        <f t="shared" si="2"/>
        <v>280</v>
      </c>
    </row>
    <row r="66" spans="2:7" ht="46.8" x14ac:dyDescent="0.25">
      <c r="B66" s="8"/>
      <c r="C66" s="9" t="s">
        <v>93</v>
      </c>
      <c r="D66" s="5" t="s">
        <v>34</v>
      </c>
      <c r="E66" s="6">
        <v>0</v>
      </c>
      <c r="F66" s="7">
        <v>450</v>
      </c>
      <c r="G66" s="7">
        <f t="shared" si="2"/>
        <v>450</v>
      </c>
    </row>
    <row r="67" spans="2:7" ht="46.8" x14ac:dyDescent="0.25">
      <c r="B67" s="8"/>
      <c r="C67" s="9" t="s">
        <v>94</v>
      </c>
      <c r="D67" s="5" t="s">
        <v>34</v>
      </c>
      <c r="E67" s="6">
        <v>0</v>
      </c>
      <c r="F67" s="7">
        <v>790</v>
      </c>
      <c r="G67" s="7">
        <f t="shared" si="2"/>
        <v>790</v>
      </c>
    </row>
    <row r="68" spans="2:7" ht="46.8" x14ac:dyDescent="0.25">
      <c r="B68" s="8"/>
      <c r="C68" s="9" t="s">
        <v>95</v>
      </c>
      <c r="D68" s="5" t="s">
        <v>34</v>
      </c>
      <c r="E68" s="6">
        <v>0</v>
      </c>
      <c r="F68" s="7">
        <v>1230</v>
      </c>
      <c r="G68" s="7">
        <f t="shared" si="2"/>
        <v>1230</v>
      </c>
    </row>
    <row r="69" spans="2:7" ht="46.8" x14ac:dyDescent="0.25">
      <c r="B69" s="8"/>
      <c r="C69" s="9" t="s">
        <v>96</v>
      </c>
      <c r="D69" s="5" t="s">
        <v>34</v>
      </c>
      <c r="E69" s="6">
        <v>0</v>
      </c>
      <c r="F69" s="7">
        <v>1540</v>
      </c>
      <c r="G69" s="7">
        <f t="shared" si="2"/>
        <v>1540</v>
      </c>
    </row>
    <row r="70" spans="2:7" ht="46.8" x14ac:dyDescent="0.25">
      <c r="B70" s="8"/>
      <c r="C70" s="9" t="s">
        <v>97</v>
      </c>
      <c r="D70" s="5" t="s">
        <v>34</v>
      </c>
      <c r="E70" s="6">
        <v>0</v>
      </c>
      <c r="F70" s="7">
        <v>90</v>
      </c>
      <c r="G70" s="7">
        <f t="shared" si="2"/>
        <v>90</v>
      </c>
    </row>
    <row r="71" spans="2:7" ht="46.8" x14ac:dyDescent="0.25">
      <c r="B71" s="8"/>
      <c r="C71" s="9" t="s">
        <v>98</v>
      </c>
      <c r="D71" s="5" t="s">
        <v>34</v>
      </c>
      <c r="E71" s="6">
        <v>0</v>
      </c>
      <c r="F71" s="7">
        <v>160</v>
      </c>
      <c r="G71" s="7">
        <f t="shared" si="2"/>
        <v>160</v>
      </c>
    </row>
    <row r="72" spans="2:7" ht="46.8" x14ac:dyDescent="0.25">
      <c r="B72" s="8"/>
      <c r="C72" s="9" t="s">
        <v>99</v>
      </c>
      <c r="D72" s="5" t="s">
        <v>34</v>
      </c>
      <c r="E72" s="6">
        <v>0</v>
      </c>
      <c r="F72" s="7">
        <v>290</v>
      </c>
      <c r="G72" s="7">
        <f t="shared" si="2"/>
        <v>290</v>
      </c>
    </row>
    <row r="73" spans="2:7" ht="124.8" x14ac:dyDescent="0.25">
      <c r="B73" s="3" t="s">
        <v>100</v>
      </c>
      <c r="C73" s="4" t="s">
        <v>101</v>
      </c>
      <c r="D73" s="5" t="s">
        <v>34</v>
      </c>
      <c r="E73" s="6">
        <v>0</v>
      </c>
      <c r="F73" s="7">
        <v>300</v>
      </c>
      <c r="G73" s="7">
        <f t="shared" si="2"/>
        <v>300</v>
      </c>
    </row>
    <row r="74" spans="2:7" ht="124.8" x14ac:dyDescent="0.25">
      <c r="B74" s="3" t="s">
        <v>102</v>
      </c>
      <c r="C74" s="4" t="s">
        <v>103</v>
      </c>
      <c r="D74" s="5" t="s">
        <v>34</v>
      </c>
      <c r="E74" s="6">
        <v>0</v>
      </c>
      <c r="F74" s="7">
        <v>170</v>
      </c>
      <c r="G74" s="7">
        <f t="shared" si="2"/>
        <v>170</v>
      </c>
    </row>
    <row r="75" spans="2:7" ht="78" x14ac:dyDescent="0.25">
      <c r="B75" s="3" t="s">
        <v>104</v>
      </c>
      <c r="C75" s="4" t="s">
        <v>105</v>
      </c>
      <c r="D75" s="5" t="s">
        <v>106</v>
      </c>
      <c r="E75" s="6">
        <v>0</v>
      </c>
      <c r="F75" s="7">
        <v>115</v>
      </c>
      <c r="G75" s="7">
        <f t="shared" si="2"/>
        <v>115</v>
      </c>
    </row>
    <row r="76" spans="2:7" ht="15.6" x14ac:dyDescent="0.25">
      <c r="B76" s="21"/>
      <c r="C76" s="22"/>
      <c r="D76" s="23"/>
      <c r="E76" s="24"/>
      <c r="F76" s="24"/>
      <c r="G76" s="25"/>
    </row>
    <row r="77" spans="2:7" ht="78" x14ac:dyDescent="0.25">
      <c r="B77" s="3" t="s">
        <v>107</v>
      </c>
      <c r="C77" s="13" t="s">
        <v>108</v>
      </c>
      <c r="D77" s="10"/>
      <c r="E77" s="6"/>
      <c r="F77" s="6"/>
      <c r="G77" s="7"/>
    </row>
    <row r="78" spans="2:7" ht="34.200000000000003" x14ac:dyDescent="0.25">
      <c r="B78" s="8"/>
      <c r="C78" s="13" t="s">
        <v>109</v>
      </c>
      <c r="D78" s="14" t="s">
        <v>110</v>
      </c>
      <c r="E78" s="6">
        <v>0</v>
      </c>
      <c r="F78" s="11">
        <v>3.25</v>
      </c>
      <c r="G78" s="11">
        <f t="shared" ref="G78:G87" si="3">F78</f>
        <v>3.25</v>
      </c>
    </row>
    <row r="79" spans="2:7" ht="34.200000000000003" x14ac:dyDescent="0.25">
      <c r="B79" s="8"/>
      <c r="C79" s="13" t="s">
        <v>111</v>
      </c>
      <c r="D79" s="14" t="s">
        <v>110</v>
      </c>
      <c r="E79" s="6">
        <v>0</v>
      </c>
      <c r="F79" s="11">
        <v>0.5</v>
      </c>
      <c r="G79" s="11">
        <f t="shared" si="3"/>
        <v>0.5</v>
      </c>
    </row>
    <row r="80" spans="2:7" ht="34.200000000000003" x14ac:dyDescent="0.25">
      <c r="B80" s="8"/>
      <c r="C80" s="13" t="s">
        <v>112</v>
      </c>
      <c r="D80" s="14" t="s">
        <v>110</v>
      </c>
      <c r="E80" s="6">
        <v>0</v>
      </c>
      <c r="F80" s="11">
        <v>4.25</v>
      </c>
      <c r="G80" s="11">
        <f t="shared" si="3"/>
        <v>4.25</v>
      </c>
    </row>
    <row r="81" spans="2:7" ht="34.200000000000003" x14ac:dyDescent="0.25">
      <c r="B81" s="8"/>
      <c r="C81" s="13" t="s">
        <v>113</v>
      </c>
      <c r="D81" s="14" t="s">
        <v>110</v>
      </c>
      <c r="E81" s="6">
        <v>0</v>
      </c>
      <c r="F81" s="11">
        <v>0.9</v>
      </c>
      <c r="G81" s="11">
        <f t="shared" si="3"/>
        <v>0.9</v>
      </c>
    </row>
    <row r="82" spans="2:7" ht="34.200000000000003" x14ac:dyDescent="0.25">
      <c r="B82" s="8"/>
      <c r="C82" s="13" t="s">
        <v>114</v>
      </c>
      <c r="D82" s="14" t="s">
        <v>110</v>
      </c>
      <c r="E82" s="6">
        <v>0</v>
      </c>
      <c r="F82" s="11">
        <v>7.4</v>
      </c>
      <c r="G82" s="11">
        <f t="shared" si="3"/>
        <v>7.4</v>
      </c>
    </row>
    <row r="83" spans="2:7" ht="34.200000000000003" x14ac:dyDescent="0.25">
      <c r="B83" s="8"/>
      <c r="C83" s="13" t="s">
        <v>115</v>
      </c>
      <c r="D83" s="14" t="s">
        <v>110</v>
      </c>
      <c r="E83" s="6">
        <v>0</v>
      </c>
      <c r="F83" s="11">
        <v>1.9</v>
      </c>
      <c r="G83" s="11">
        <f t="shared" si="3"/>
        <v>1.9</v>
      </c>
    </row>
    <row r="84" spans="2:7" ht="34.200000000000003" x14ac:dyDescent="0.25">
      <c r="B84" s="8"/>
      <c r="C84" s="13" t="s">
        <v>116</v>
      </c>
      <c r="D84" s="14" t="s">
        <v>110</v>
      </c>
      <c r="E84" s="6">
        <v>0</v>
      </c>
      <c r="F84" s="11">
        <v>10.75</v>
      </c>
      <c r="G84" s="11">
        <f t="shared" si="3"/>
        <v>10.75</v>
      </c>
    </row>
    <row r="85" spans="2:7" ht="34.200000000000003" x14ac:dyDescent="0.25">
      <c r="B85" s="8"/>
      <c r="C85" s="13" t="s">
        <v>117</v>
      </c>
      <c r="D85" s="14" t="s">
        <v>110</v>
      </c>
      <c r="E85" s="6">
        <v>0</v>
      </c>
      <c r="F85" s="11">
        <v>3.1</v>
      </c>
      <c r="G85" s="11">
        <f t="shared" si="3"/>
        <v>3.1</v>
      </c>
    </row>
    <row r="86" spans="2:7" ht="34.200000000000003" x14ac:dyDescent="0.25">
      <c r="B86" s="8"/>
      <c r="C86" s="13" t="s">
        <v>118</v>
      </c>
      <c r="D86" s="14" t="s">
        <v>110</v>
      </c>
      <c r="E86" s="6">
        <v>0</v>
      </c>
      <c r="F86" s="11">
        <v>12.9</v>
      </c>
      <c r="G86" s="11">
        <f t="shared" si="3"/>
        <v>12.9</v>
      </c>
    </row>
    <row r="87" spans="2:7" ht="34.200000000000003" x14ac:dyDescent="0.25">
      <c r="B87" s="8"/>
      <c r="C87" s="13" t="s">
        <v>119</v>
      </c>
      <c r="D87" s="14" t="s">
        <v>110</v>
      </c>
      <c r="E87" s="6">
        <v>0</v>
      </c>
      <c r="F87" s="11">
        <v>4.4000000000000004</v>
      </c>
      <c r="G87" s="11">
        <f t="shared" si="3"/>
        <v>4.4000000000000004</v>
      </c>
    </row>
    <row r="88" spans="2:7" ht="93.6" x14ac:dyDescent="0.25">
      <c r="B88" s="3" t="s">
        <v>120</v>
      </c>
      <c r="C88" s="4" t="s">
        <v>121</v>
      </c>
      <c r="D88" s="5"/>
      <c r="E88" s="6"/>
      <c r="F88" s="6"/>
      <c r="G88" s="7"/>
    </row>
    <row r="89" spans="2:7" ht="46.8" x14ac:dyDescent="0.25">
      <c r="B89" s="8"/>
      <c r="C89" s="9" t="s">
        <v>122</v>
      </c>
      <c r="D89" s="5" t="s">
        <v>123</v>
      </c>
      <c r="E89" s="6">
        <v>0</v>
      </c>
      <c r="F89" s="6">
        <v>11.8</v>
      </c>
      <c r="G89" s="7">
        <f t="shared" ref="G89:G95" si="4">+F89+E89</f>
        <v>11.8</v>
      </c>
    </row>
    <row r="90" spans="2:7" ht="46.8" x14ac:dyDescent="0.25">
      <c r="B90" s="8"/>
      <c r="C90" s="9" t="s">
        <v>124</v>
      </c>
      <c r="D90" s="5" t="s">
        <v>123</v>
      </c>
      <c r="E90" s="6">
        <v>0</v>
      </c>
      <c r="F90" s="6">
        <v>16</v>
      </c>
      <c r="G90" s="7">
        <f t="shared" si="4"/>
        <v>16</v>
      </c>
    </row>
    <row r="91" spans="2:7" ht="46.8" x14ac:dyDescent="0.25">
      <c r="B91" s="8"/>
      <c r="C91" s="9" t="s">
        <v>125</v>
      </c>
      <c r="D91" s="5" t="s">
        <v>123</v>
      </c>
      <c r="E91" s="6">
        <v>0</v>
      </c>
      <c r="F91" s="6">
        <v>18.100000000000001</v>
      </c>
      <c r="G91" s="7">
        <f t="shared" si="4"/>
        <v>18.100000000000001</v>
      </c>
    </row>
    <row r="92" spans="2:7" ht="46.8" x14ac:dyDescent="0.25">
      <c r="B92" s="8"/>
      <c r="C92" s="9" t="s">
        <v>126</v>
      </c>
      <c r="D92" s="5" t="s">
        <v>123</v>
      </c>
      <c r="E92" s="6">
        <v>0</v>
      </c>
      <c r="F92" s="7">
        <v>21.5</v>
      </c>
      <c r="G92" s="7">
        <f t="shared" si="4"/>
        <v>21.5</v>
      </c>
    </row>
    <row r="93" spans="2:7" ht="46.8" x14ac:dyDescent="0.25">
      <c r="B93" s="8"/>
      <c r="C93" s="9" t="s">
        <v>127</v>
      </c>
      <c r="D93" s="5" t="s">
        <v>123</v>
      </c>
      <c r="E93" s="6">
        <v>0</v>
      </c>
      <c r="F93" s="7">
        <v>30</v>
      </c>
      <c r="G93" s="7">
        <f t="shared" si="4"/>
        <v>30</v>
      </c>
    </row>
    <row r="94" spans="2:7" ht="46.8" x14ac:dyDescent="0.25">
      <c r="B94" s="8"/>
      <c r="C94" s="9" t="s">
        <v>128</v>
      </c>
      <c r="D94" s="5" t="s">
        <v>123</v>
      </c>
      <c r="E94" s="6">
        <v>0</v>
      </c>
      <c r="F94" s="7">
        <v>45.25</v>
      </c>
      <c r="G94" s="7">
        <f t="shared" si="4"/>
        <v>45.25</v>
      </c>
    </row>
    <row r="95" spans="2:7" ht="46.8" x14ac:dyDescent="0.25">
      <c r="B95" s="8"/>
      <c r="C95" s="9" t="s">
        <v>129</v>
      </c>
      <c r="D95" s="5" t="s">
        <v>123</v>
      </c>
      <c r="E95" s="6">
        <v>0</v>
      </c>
      <c r="F95" s="7">
        <v>61.25</v>
      </c>
      <c r="G95" s="7">
        <f t="shared" si="4"/>
        <v>61.25</v>
      </c>
    </row>
    <row r="96" spans="2:7" ht="93.6" x14ac:dyDescent="0.25">
      <c r="B96" s="3" t="s">
        <v>130</v>
      </c>
      <c r="C96" s="4" t="s">
        <v>131</v>
      </c>
      <c r="D96" s="5"/>
      <c r="E96" s="6"/>
      <c r="F96" s="7"/>
      <c r="G96" s="7"/>
    </row>
    <row r="97" spans="2:7" ht="46.8" x14ac:dyDescent="0.25">
      <c r="B97" s="8"/>
      <c r="C97" s="9" t="s">
        <v>132</v>
      </c>
      <c r="D97" s="5" t="s">
        <v>123</v>
      </c>
      <c r="E97" s="6">
        <v>0</v>
      </c>
      <c r="F97" s="7">
        <v>50</v>
      </c>
      <c r="G97" s="7">
        <f t="shared" ref="G97:G100" si="5">+F97+E97</f>
        <v>50</v>
      </c>
    </row>
    <row r="98" spans="2:7" ht="46.8" x14ac:dyDescent="0.25">
      <c r="B98" s="8"/>
      <c r="C98" s="9" t="s">
        <v>133</v>
      </c>
      <c r="D98" s="5" t="s">
        <v>123</v>
      </c>
      <c r="E98" s="6">
        <v>0</v>
      </c>
      <c r="F98" s="7">
        <v>75</v>
      </c>
      <c r="G98" s="7">
        <f t="shared" si="5"/>
        <v>75</v>
      </c>
    </row>
    <row r="99" spans="2:7" ht="46.8" x14ac:dyDescent="0.25">
      <c r="B99" s="8"/>
      <c r="C99" s="9" t="s">
        <v>134</v>
      </c>
      <c r="D99" s="5" t="s">
        <v>123</v>
      </c>
      <c r="E99" s="6">
        <v>0</v>
      </c>
      <c r="F99" s="7">
        <v>93.75</v>
      </c>
      <c r="G99" s="7">
        <f t="shared" si="5"/>
        <v>93.75</v>
      </c>
    </row>
    <row r="100" spans="2:7" ht="46.8" x14ac:dyDescent="0.25">
      <c r="B100" s="8"/>
      <c r="C100" s="13" t="s">
        <v>135</v>
      </c>
      <c r="D100" s="16" t="s">
        <v>123</v>
      </c>
      <c r="E100" s="17">
        <v>0</v>
      </c>
      <c r="F100" s="18">
        <v>43.75</v>
      </c>
      <c r="G100" s="18">
        <f t="shared" si="5"/>
        <v>43.75</v>
      </c>
    </row>
    <row r="101" spans="2:7" ht="156" x14ac:dyDescent="0.25">
      <c r="B101" s="3" t="s">
        <v>136</v>
      </c>
      <c r="C101" s="4" t="s">
        <v>137</v>
      </c>
      <c r="D101" s="5"/>
      <c r="E101" s="6"/>
      <c r="F101" s="6"/>
      <c r="G101" s="7"/>
    </row>
    <row r="102" spans="2:7" ht="46.8" x14ac:dyDescent="0.25">
      <c r="B102" s="8"/>
      <c r="C102" s="9" t="s">
        <v>138</v>
      </c>
      <c r="D102" s="5" t="s">
        <v>139</v>
      </c>
      <c r="E102" s="6">
        <v>0</v>
      </c>
      <c r="F102" s="7">
        <v>140</v>
      </c>
      <c r="G102" s="7">
        <f t="shared" ref="G102:G107" si="6">+E102+F102</f>
        <v>140</v>
      </c>
    </row>
    <row r="103" spans="2:7" ht="46.8" x14ac:dyDescent="0.25">
      <c r="B103" s="8"/>
      <c r="C103" s="9" t="s">
        <v>140</v>
      </c>
      <c r="D103" s="5" t="s">
        <v>139</v>
      </c>
      <c r="E103" s="6">
        <v>0</v>
      </c>
      <c r="F103" s="7">
        <v>175</v>
      </c>
      <c r="G103" s="7">
        <f t="shared" si="6"/>
        <v>175</v>
      </c>
    </row>
    <row r="104" spans="2:7" ht="156" x14ac:dyDescent="0.25">
      <c r="B104" s="3" t="s">
        <v>141</v>
      </c>
      <c r="C104" s="9" t="s">
        <v>142</v>
      </c>
      <c r="D104" s="5"/>
      <c r="E104" s="6"/>
      <c r="F104" s="6"/>
      <c r="G104" s="7"/>
    </row>
    <row r="105" spans="2:7" ht="46.8" x14ac:dyDescent="0.25">
      <c r="B105" s="8"/>
      <c r="C105" s="9" t="s">
        <v>143</v>
      </c>
      <c r="D105" s="5" t="s">
        <v>139</v>
      </c>
      <c r="E105" s="6">
        <v>0</v>
      </c>
      <c r="F105" s="7">
        <v>160</v>
      </c>
      <c r="G105" s="7">
        <f t="shared" si="6"/>
        <v>160</v>
      </c>
    </row>
    <row r="106" spans="2:7" ht="46.8" x14ac:dyDescent="0.25">
      <c r="B106" s="8"/>
      <c r="C106" s="9" t="s">
        <v>144</v>
      </c>
      <c r="D106" s="5" t="s">
        <v>139</v>
      </c>
      <c r="E106" s="6">
        <v>0</v>
      </c>
      <c r="F106" s="7">
        <v>190</v>
      </c>
      <c r="G106" s="7">
        <f t="shared" si="6"/>
        <v>190</v>
      </c>
    </row>
    <row r="107" spans="2:7" ht="46.8" x14ac:dyDescent="0.25">
      <c r="B107" s="8"/>
      <c r="C107" s="9" t="s">
        <v>145</v>
      </c>
      <c r="D107" s="5" t="s">
        <v>139</v>
      </c>
      <c r="E107" s="6">
        <v>0</v>
      </c>
      <c r="F107" s="7">
        <v>245</v>
      </c>
      <c r="G107" s="7">
        <f t="shared" si="6"/>
        <v>245</v>
      </c>
    </row>
    <row r="108" spans="2:7" ht="140.4" x14ac:dyDescent="0.25">
      <c r="B108" s="3" t="s">
        <v>146</v>
      </c>
      <c r="C108" s="4" t="s">
        <v>147</v>
      </c>
      <c r="D108" s="5"/>
      <c r="E108" s="6"/>
      <c r="F108" s="6"/>
      <c r="G108" s="7"/>
    </row>
    <row r="109" spans="2:7" ht="46.8" x14ac:dyDescent="0.25">
      <c r="B109" s="8"/>
      <c r="C109" s="9" t="s">
        <v>148</v>
      </c>
      <c r="D109" s="5" t="s">
        <v>139</v>
      </c>
      <c r="E109" s="6">
        <v>0</v>
      </c>
      <c r="F109" s="7">
        <v>125</v>
      </c>
      <c r="G109" s="7">
        <f t="shared" ref="G109:G117" si="7">+E109+F109</f>
        <v>125</v>
      </c>
    </row>
    <row r="110" spans="2:7" ht="46.8" x14ac:dyDescent="0.25">
      <c r="B110" s="8"/>
      <c r="C110" s="9" t="s">
        <v>149</v>
      </c>
      <c r="D110" s="5" t="s">
        <v>139</v>
      </c>
      <c r="E110" s="6">
        <v>0</v>
      </c>
      <c r="F110" s="7">
        <v>160</v>
      </c>
      <c r="G110" s="7">
        <f t="shared" si="7"/>
        <v>160</v>
      </c>
    </row>
    <row r="111" spans="2:7" ht="46.8" x14ac:dyDescent="0.25">
      <c r="B111" s="8"/>
      <c r="C111" s="9" t="s">
        <v>150</v>
      </c>
      <c r="D111" s="5" t="s">
        <v>139</v>
      </c>
      <c r="E111" s="6">
        <v>0</v>
      </c>
      <c r="F111" s="7">
        <v>250</v>
      </c>
      <c r="G111" s="7">
        <f t="shared" si="7"/>
        <v>250</v>
      </c>
    </row>
    <row r="112" spans="2:7" ht="46.8" x14ac:dyDescent="0.25">
      <c r="B112" s="8"/>
      <c r="C112" s="9" t="s">
        <v>151</v>
      </c>
      <c r="D112" s="5" t="s">
        <v>139</v>
      </c>
      <c r="E112" s="6">
        <v>0</v>
      </c>
      <c r="F112" s="7">
        <v>350</v>
      </c>
      <c r="G112" s="7">
        <f t="shared" si="7"/>
        <v>350</v>
      </c>
    </row>
    <row r="113" spans="2:7" ht="46.8" x14ac:dyDescent="0.25">
      <c r="B113" s="8"/>
      <c r="C113" s="9" t="s">
        <v>152</v>
      </c>
      <c r="D113" s="5" t="s">
        <v>139</v>
      </c>
      <c r="E113" s="6">
        <v>0</v>
      </c>
      <c r="F113" s="7">
        <v>450</v>
      </c>
      <c r="G113" s="7">
        <f t="shared" si="7"/>
        <v>450</v>
      </c>
    </row>
    <row r="114" spans="2:7" ht="46.8" x14ac:dyDescent="0.25">
      <c r="B114" s="8"/>
      <c r="C114" s="9" t="s">
        <v>153</v>
      </c>
      <c r="D114" s="5" t="s">
        <v>139</v>
      </c>
      <c r="E114" s="6">
        <v>0</v>
      </c>
      <c r="F114" s="7">
        <v>500</v>
      </c>
      <c r="G114" s="7">
        <f t="shared" si="7"/>
        <v>500</v>
      </c>
    </row>
    <row r="115" spans="2:7" ht="46.8" x14ac:dyDescent="0.25">
      <c r="B115" s="8"/>
      <c r="C115" s="9" t="s">
        <v>154</v>
      </c>
      <c r="D115" s="5" t="s">
        <v>139</v>
      </c>
      <c r="E115" s="6">
        <v>0</v>
      </c>
      <c r="F115" s="7">
        <v>650</v>
      </c>
      <c r="G115" s="7">
        <f t="shared" si="7"/>
        <v>650</v>
      </c>
    </row>
    <row r="116" spans="2:7" ht="46.8" x14ac:dyDescent="0.25">
      <c r="B116" s="8"/>
      <c r="C116" s="9" t="s">
        <v>155</v>
      </c>
      <c r="D116" s="5" t="s">
        <v>139</v>
      </c>
      <c r="E116" s="6">
        <v>0</v>
      </c>
      <c r="F116" s="7">
        <v>990</v>
      </c>
      <c r="G116" s="7">
        <f t="shared" si="7"/>
        <v>990</v>
      </c>
    </row>
    <row r="117" spans="2:7" ht="46.8" x14ac:dyDescent="0.25">
      <c r="B117" s="8"/>
      <c r="C117" s="9" t="s">
        <v>156</v>
      </c>
      <c r="D117" s="5" t="s">
        <v>139</v>
      </c>
      <c r="E117" s="6">
        <v>0</v>
      </c>
      <c r="F117" s="7">
        <v>1150</v>
      </c>
      <c r="G117" s="7">
        <f t="shared" si="7"/>
        <v>1150</v>
      </c>
    </row>
    <row r="118" spans="2:7" ht="109.2" x14ac:dyDescent="0.25">
      <c r="B118" s="3" t="s">
        <v>157</v>
      </c>
      <c r="C118" s="4" t="s">
        <v>158</v>
      </c>
      <c r="D118" s="5"/>
      <c r="E118" s="6"/>
      <c r="F118" s="6"/>
      <c r="G118" s="7"/>
    </row>
    <row r="119" spans="2:7" ht="46.8" x14ac:dyDescent="0.25">
      <c r="B119" s="8"/>
      <c r="C119" s="9" t="s">
        <v>159</v>
      </c>
      <c r="D119" s="5" t="s">
        <v>139</v>
      </c>
      <c r="E119" s="6">
        <v>0</v>
      </c>
      <c r="F119" s="7">
        <v>130</v>
      </c>
      <c r="G119" s="7">
        <f t="shared" ref="G119:G126" si="8">+E119+F119</f>
        <v>130</v>
      </c>
    </row>
    <row r="120" spans="2:7" ht="46.8" x14ac:dyDescent="0.25">
      <c r="B120" s="8"/>
      <c r="C120" s="9" t="s">
        <v>160</v>
      </c>
      <c r="D120" s="5" t="s">
        <v>139</v>
      </c>
      <c r="E120" s="6">
        <v>0</v>
      </c>
      <c r="F120" s="7">
        <v>180</v>
      </c>
      <c r="G120" s="7">
        <f t="shared" si="8"/>
        <v>180</v>
      </c>
    </row>
    <row r="121" spans="2:7" ht="46.8" x14ac:dyDescent="0.25">
      <c r="B121" s="8"/>
      <c r="C121" s="9" t="s">
        <v>161</v>
      </c>
      <c r="D121" s="5" t="s">
        <v>139</v>
      </c>
      <c r="E121" s="6">
        <v>0</v>
      </c>
      <c r="F121" s="7">
        <v>300</v>
      </c>
      <c r="G121" s="7">
        <f t="shared" si="8"/>
        <v>300</v>
      </c>
    </row>
    <row r="122" spans="2:7" ht="46.8" x14ac:dyDescent="0.25">
      <c r="B122" s="8"/>
      <c r="C122" s="9" t="s">
        <v>162</v>
      </c>
      <c r="D122" s="5" t="s">
        <v>139</v>
      </c>
      <c r="E122" s="6">
        <v>0</v>
      </c>
      <c r="F122" s="7">
        <v>400</v>
      </c>
      <c r="G122" s="7">
        <f t="shared" si="8"/>
        <v>400</v>
      </c>
    </row>
    <row r="123" spans="2:7" ht="46.8" x14ac:dyDescent="0.25">
      <c r="B123" s="8"/>
      <c r="C123" s="9" t="s">
        <v>163</v>
      </c>
      <c r="D123" s="5" t="s">
        <v>139</v>
      </c>
      <c r="E123" s="6">
        <v>0</v>
      </c>
      <c r="F123" s="7">
        <v>600</v>
      </c>
      <c r="G123" s="7">
        <f t="shared" si="8"/>
        <v>600</v>
      </c>
    </row>
    <row r="124" spans="2:7" ht="46.8" x14ac:dyDescent="0.25">
      <c r="B124" s="8"/>
      <c r="C124" s="9" t="s">
        <v>164</v>
      </c>
      <c r="D124" s="5" t="s">
        <v>139</v>
      </c>
      <c r="E124" s="6">
        <v>0</v>
      </c>
      <c r="F124" s="7">
        <v>750</v>
      </c>
      <c r="G124" s="7">
        <f t="shared" si="8"/>
        <v>750</v>
      </c>
    </row>
    <row r="125" spans="2:7" ht="46.8" x14ac:dyDescent="0.25">
      <c r="B125" s="8"/>
      <c r="C125" s="9" t="s">
        <v>165</v>
      </c>
      <c r="D125" s="5" t="s">
        <v>139</v>
      </c>
      <c r="E125" s="6">
        <v>0</v>
      </c>
      <c r="F125" s="7">
        <v>1100</v>
      </c>
      <c r="G125" s="7">
        <f t="shared" si="8"/>
        <v>1100</v>
      </c>
    </row>
    <row r="126" spans="2:7" ht="46.8" x14ac:dyDescent="0.25">
      <c r="B126" s="8"/>
      <c r="C126" s="9" t="s">
        <v>166</v>
      </c>
      <c r="D126" s="5" t="s">
        <v>139</v>
      </c>
      <c r="E126" s="6">
        <v>0</v>
      </c>
      <c r="F126" s="7">
        <v>1250</v>
      </c>
      <c r="G126" s="7">
        <f t="shared" si="8"/>
        <v>1250</v>
      </c>
    </row>
    <row r="127" spans="2:7" ht="331.2" x14ac:dyDescent="0.25">
      <c r="B127" s="26" t="s">
        <v>167</v>
      </c>
      <c r="C127" s="27" t="s">
        <v>168</v>
      </c>
      <c r="D127" s="5" t="s">
        <v>139</v>
      </c>
      <c r="E127" s="6"/>
      <c r="F127" s="6"/>
      <c r="G127" s="7"/>
    </row>
    <row r="128" spans="2:7" ht="109.2" x14ac:dyDescent="0.25">
      <c r="B128" s="8" t="s">
        <v>169</v>
      </c>
      <c r="C128" s="4" t="s">
        <v>170</v>
      </c>
      <c r="D128" s="5" t="s">
        <v>139</v>
      </c>
      <c r="E128" s="6"/>
      <c r="F128" s="6">
        <v>22000</v>
      </c>
      <c r="G128" s="7">
        <v>22000</v>
      </c>
    </row>
    <row r="129" spans="2:7" ht="124.8" x14ac:dyDescent="0.25">
      <c r="B129" s="8" t="s">
        <v>171</v>
      </c>
      <c r="C129" s="4" t="s">
        <v>172</v>
      </c>
      <c r="D129" s="5" t="s">
        <v>139</v>
      </c>
      <c r="E129" s="6"/>
      <c r="F129" s="6">
        <v>12000</v>
      </c>
      <c r="G129" s="7">
        <v>12000</v>
      </c>
    </row>
    <row r="130" spans="2:7" ht="93.6" x14ac:dyDescent="0.25">
      <c r="B130" s="28" t="s">
        <v>173</v>
      </c>
      <c r="C130" s="29" t="s">
        <v>174</v>
      </c>
      <c r="D130" s="30" t="s">
        <v>139</v>
      </c>
      <c r="E130" s="31"/>
      <c r="F130" s="32">
        <v>8000</v>
      </c>
      <c r="G130" s="33">
        <f>+F130</f>
        <v>8000</v>
      </c>
    </row>
    <row r="131" spans="2:7" ht="62.4" x14ac:dyDescent="0.25">
      <c r="B131" s="26" t="s">
        <v>175</v>
      </c>
      <c r="C131" s="34" t="s">
        <v>176</v>
      </c>
      <c r="D131" s="5" t="s">
        <v>139</v>
      </c>
      <c r="E131" s="6"/>
      <c r="F131" s="6">
        <f>6290*1.01*10%+250</f>
        <v>885.29</v>
      </c>
      <c r="G131" s="7">
        <f t="shared" ref="G131:G136" si="9">F131</f>
        <v>885.29</v>
      </c>
    </row>
    <row r="132" spans="2:7" ht="62.4" x14ac:dyDescent="0.25">
      <c r="B132" s="26" t="s">
        <v>177</v>
      </c>
      <c r="C132" s="34" t="s">
        <v>178</v>
      </c>
      <c r="D132" s="5" t="s">
        <v>139</v>
      </c>
      <c r="E132" s="6"/>
      <c r="F132" s="6">
        <f>16500*1.01*10%+250</f>
        <v>1916.5</v>
      </c>
      <c r="G132" s="7">
        <f t="shared" si="9"/>
        <v>1916.5</v>
      </c>
    </row>
    <row r="133" spans="2:7" ht="22.8" x14ac:dyDescent="0.25">
      <c r="B133" s="175" t="s">
        <v>179</v>
      </c>
      <c r="C133" s="175"/>
      <c r="D133" s="175"/>
      <c r="E133" s="175"/>
      <c r="F133" s="175"/>
      <c r="G133" s="175"/>
    </row>
    <row r="134" spans="2:7" ht="78" x14ac:dyDescent="0.25">
      <c r="B134" s="3" t="s">
        <v>180</v>
      </c>
      <c r="C134" s="4" t="s">
        <v>181</v>
      </c>
      <c r="D134" s="5" t="s">
        <v>182</v>
      </c>
      <c r="E134" s="6">
        <v>0</v>
      </c>
      <c r="F134" s="6">
        <v>2300</v>
      </c>
      <c r="G134" s="7">
        <v>2300</v>
      </c>
    </row>
    <row r="135" spans="2:7" ht="78" x14ac:dyDescent="0.25">
      <c r="B135" s="3" t="s">
        <v>183</v>
      </c>
      <c r="C135" s="35" t="s">
        <v>184</v>
      </c>
      <c r="D135" s="5" t="s">
        <v>185</v>
      </c>
      <c r="E135" s="6">
        <v>0</v>
      </c>
      <c r="F135" s="6">
        <v>325</v>
      </c>
      <c r="G135" s="7">
        <v>325</v>
      </c>
    </row>
    <row r="136" spans="2:7" ht="78" x14ac:dyDescent="0.25">
      <c r="B136" s="3" t="s">
        <v>186</v>
      </c>
      <c r="C136" s="4" t="s">
        <v>187</v>
      </c>
      <c r="D136" s="5" t="s">
        <v>188</v>
      </c>
      <c r="E136" s="6">
        <v>0</v>
      </c>
      <c r="F136" s="6">
        <v>815</v>
      </c>
      <c r="G136" s="7">
        <f t="shared" si="9"/>
        <v>815</v>
      </c>
    </row>
    <row r="137" spans="2:7" ht="109.2" x14ac:dyDescent="0.25">
      <c r="B137" s="3" t="s">
        <v>189</v>
      </c>
      <c r="C137" s="4" t="s">
        <v>190</v>
      </c>
      <c r="D137" s="5" t="s">
        <v>106</v>
      </c>
      <c r="E137" s="6">
        <v>0</v>
      </c>
      <c r="F137" s="6">
        <v>690</v>
      </c>
      <c r="G137" s="7">
        <v>687.5</v>
      </c>
    </row>
    <row r="138" spans="2:7" ht="109.2" x14ac:dyDescent="0.25">
      <c r="B138" s="3" t="s">
        <v>191</v>
      </c>
      <c r="C138" s="4" t="s">
        <v>192</v>
      </c>
      <c r="D138" s="5" t="s">
        <v>188</v>
      </c>
      <c r="E138" s="6">
        <v>0</v>
      </c>
      <c r="F138" s="6">
        <v>1900</v>
      </c>
      <c r="G138" s="7">
        <v>1900</v>
      </c>
    </row>
    <row r="139" spans="2:7" ht="93.6" x14ac:dyDescent="0.25">
      <c r="B139" s="3" t="s">
        <v>193</v>
      </c>
      <c r="C139" s="4" t="s">
        <v>194</v>
      </c>
      <c r="D139" s="5" t="s">
        <v>188</v>
      </c>
      <c r="E139" s="6">
        <v>0</v>
      </c>
      <c r="F139" s="6">
        <v>3500</v>
      </c>
      <c r="G139" s="7">
        <f>+F139</f>
        <v>3500</v>
      </c>
    </row>
    <row r="140" spans="2:7" ht="109.2" x14ac:dyDescent="0.25">
      <c r="B140" s="3" t="s">
        <v>195</v>
      </c>
      <c r="C140" s="4" t="s">
        <v>196</v>
      </c>
      <c r="D140" s="5" t="s">
        <v>188</v>
      </c>
      <c r="E140" s="6">
        <v>0</v>
      </c>
      <c r="F140" s="6">
        <v>7000</v>
      </c>
      <c r="G140" s="7">
        <f>+F140</f>
        <v>7000</v>
      </c>
    </row>
    <row r="141" spans="2:7" ht="62.4" x14ac:dyDescent="0.25">
      <c r="B141" s="3" t="s">
        <v>197</v>
      </c>
      <c r="C141" s="4" t="s">
        <v>198</v>
      </c>
      <c r="D141" s="5" t="s">
        <v>188</v>
      </c>
      <c r="E141" s="6">
        <v>0</v>
      </c>
      <c r="F141" s="7">
        <v>940</v>
      </c>
      <c r="G141" s="7">
        <f t="shared" ref="G141:G143" si="10">F141</f>
        <v>940</v>
      </c>
    </row>
    <row r="142" spans="2:7" ht="62.4" x14ac:dyDescent="0.25">
      <c r="B142" s="3" t="s">
        <v>199</v>
      </c>
      <c r="C142" s="4" t="s">
        <v>200</v>
      </c>
      <c r="D142" s="5" t="s">
        <v>188</v>
      </c>
      <c r="E142" s="6">
        <v>0</v>
      </c>
      <c r="F142" s="7">
        <v>1190</v>
      </c>
      <c r="G142" s="7">
        <f t="shared" si="10"/>
        <v>1190</v>
      </c>
    </row>
    <row r="143" spans="2:7" ht="62.4" x14ac:dyDescent="0.25">
      <c r="B143" s="3" t="s">
        <v>201</v>
      </c>
      <c r="C143" s="4" t="s">
        <v>202</v>
      </c>
      <c r="D143" s="5" t="s">
        <v>188</v>
      </c>
      <c r="E143" s="6">
        <v>0</v>
      </c>
      <c r="F143" s="6">
        <v>1375</v>
      </c>
      <c r="G143" s="7">
        <f t="shared" si="10"/>
        <v>1375</v>
      </c>
    </row>
    <row r="144" spans="2:7" ht="78" x14ac:dyDescent="0.25">
      <c r="B144" s="3" t="s">
        <v>203</v>
      </c>
      <c r="C144" s="4" t="s">
        <v>204</v>
      </c>
      <c r="D144" s="5" t="s">
        <v>188</v>
      </c>
      <c r="E144" s="6">
        <v>0</v>
      </c>
      <c r="F144" s="6">
        <f>+G144</f>
        <v>1100</v>
      </c>
      <c r="G144" s="7">
        <v>1100</v>
      </c>
    </row>
    <row r="145" spans="2:7" ht="109.2" x14ac:dyDescent="0.25">
      <c r="B145" s="26" t="s">
        <v>205</v>
      </c>
      <c r="C145" s="4" t="s">
        <v>206</v>
      </c>
      <c r="D145" s="5" t="s">
        <v>207</v>
      </c>
      <c r="E145" s="6">
        <v>0</v>
      </c>
      <c r="F145" s="6">
        <v>13</v>
      </c>
      <c r="G145" s="7">
        <f t="shared" ref="G145:G147" si="11">F145</f>
        <v>13</v>
      </c>
    </row>
    <row r="146" spans="2:7" ht="93.6" x14ac:dyDescent="0.25">
      <c r="B146" s="8" t="s">
        <v>208</v>
      </c>
      <c r="C146" s="4" t="s">
        <v>209</v>
      </c>
      <c r="D146" s="5" t="s">
        <v>207</v>
      </c>
      <c r="E146" s="6"/>
      <c r="F146" s="6">
        <v>3</v>
      </c>
      <c r="G146" s="7">
        <f t="shared" si="11"/>
        <v>3</v>
      </c>
    </row>
    <row r="147" spans="2:7" ht="78" x14ac:dyDescent="0.25">
      <c r="B147" s="26" t="s">
        <v>210</v>
      </c>
      <c r="C147" s="4" t="s">
        <v>211</v>
      </c>
      <c r="D147" s="5" t="s">
        <v>188</v>
      </c>
      <c r="E147" s="6"/>
      <c r="F147" s="6">
        <v>15000</v>
      </c>
      <c r="G147" s="7">
        <f t="shared" si="11"/>
        <v>15000</v>
      </c>
    </row>
    <row r="148" spans="2:7" ht="296.39999999999998" x14ac:dyDescent="0.25">
      <c r="B148" s="28" t="s">
        <v>212</v>
      </c>
      <c r="C148" s="36" t="s">
        <v>213</v>
      </c>
      <c r="D148" s="5" t="s">
        <v>188</v>
      </c>
      <c r="E148" s="37"/>
      <c r="F148" s="37">
        <v>1162</v>
      </c>
      <c r="G148" s="38">
        <v>1162</v>
      </c>
    </row>
    <row r="149" spans="2:7" ht="46.8" x14ac:dyDescent="0.25">
      <c r="B149" s="28" t="s">
        <v>214</v>
      </c>
      <c r="C149" s="39" t="s">
        <v>215</v>
      </c>
      <c r="D149" s="5" t="s">
        <v>188</v>
      </c>
      <c r="E149" s="37"/>
      <c r="F149" s="37">
        <v>780</v>
      </c>
      <c r="G149" s="38">
        <f>F149</f>
        <v>780</v>
      </c>
    </row>
    <row r="150" spans="2:7" ht="46.8" x14ac:dyDescent="0.25">
      <c r="B150" s="28" t="s">
        <v>216</v>
      </c>
      <c r="C150" s="39" t="s">
        <v>217</v>
      </c>
      <c r="D150" s="5" t="s">
        <v>188</v>
      </c>
      <c r="E150" s="37"/>
      <c r="F150" s="37">
        <v>655</v>
      </c>
      <c r="G150" s="38">
        <v>655</v>
      </c>
    </row>
    <row r="151" spans="2:7" ht="249.6" x14ac:dyDescent="0.25">
      <c r="B151" s="28" t="s">
        <v>218</v>
      </c>
      <c r="C151" s="4" t="s">
        <v>219</v>
      </c>
      <c r="D151" s="5" t="s">
        <v>188</v>
      </c>
      <c r="E151" s="6"/>
      <c r="F151" s="7">
        <v>750</v>
      </c>
      <c r="G151" s="7">
        <f>+F151</f>
        <v>750</v>
      </c>
    </row>
    <row r="152" spans="2:7" ht="78" x14ac:dyDescent="0.25">
      <c r="B152" s="28" t="s">
        <v>220</v>
      </c>
      <c r="C152" s="13" t="s">
        <v>221</v>
      </c>
      <c r="D152" s="5" t="s">
        <v>188</v>
      </c>
      <c r="E152" s="17">
        <v>0</v>
      </c>
      <c r="F152" s="17">
        <v>2250</v>
      </c>
      <c r="G152" s="17">
        <v>2250</v>
      </c>
    </row>
    <row r="153" spans="2:7" ht="22.8" x14ac:dyDescent="0.25">
      <c r="B153" s="175" t="s">
        <v>222</v>
      </c>
      <c r="C153" s="175"/>
      <c r="D153" s="175"/>
      <c r="E153" s="175"/>
      <c r="F153" s="175"/>
      <c r="G153" s="175"/>
    </row>
    <row r="154" spans="2:7" ht="78" x14ac:dyDescent="0.25">
      <c r="B154" s="40" t="s">
        <v>223</v>
      </c>
      <c r="C154" s="4" t="s">
        <v>224</v>
      </c>
      <c r="D154" s="8"/>
      <c r="E154" s="6"/>
      <c r="F154" s="41"/>
      <c r="G154" s="7"/>
    </row>
    <row r="155" spans="2:7" ht="46.8" x14ac:dyDescent="0.25">
      <c r="B155" s="8"/>
      <c r="C155" s="9" t="s">
        <v>225</v>
      </c>
      <c r="D155" s="8" t="s">
        <v>42</v>
      </c>
      <c r="E155" s="6">
        <v>0</v>
      </c>
      <c r="F155" s="7">
        <v>1090</v>
      </c>
      <c r="G155" s="7">
        <v>1090</v>
      </c>
    </row>
    <row r="156" spans="2:7" ht="46.8" x14ac:dyDescent="0.25">
      <c r="B156" s="8"/>
      <c r="C156" s="9" t="s">
        <v>226</v>
      </c>
      <c r="D156" s="8" t="s">
        <v>42</v>
      </c>
      <c r="E156" s="6">
        <v>0</v>
      </c>
      <c r="F156" s="7">
        <v>4700</v>
      </c>
      <c r="G156" s="7">
        <v>4700</v>
      </c>
    </row>
    <row r="157" spans="2:7" ht="93.6" x14ac:dyDescent="0.25">
      <c r="B157" s="3" t="s">
        <v>227</v>
      </c>
      <c r="C157" s="4" t="s">
        <v>228</v>
      </c>
      <c r="D157" s="8"/>
      <c r="E157" s="6"/>
      <c r="F157" s="7"/>
      <c r="G157" s="7"/>
    </row>
    <row r="158" spans="2:7" ht="46.8" x14ac:dyDescent="0.25">
      <c r="B158" s="8"/>
      <c r="C158" s="9" t="s">
        <v>229</v>
      </c>
      <c r="D158" s="8" t="s">
        <v>42</v>
      </c>
      <c r="E158" s="6">
        <v>0</v>
      </c>
      <c r="F158" s="7">
        <v>4700</v>
      </c>
      <c r="G158" s="7">
        <v>4700</v>
      </c>
    </row>
    <row r="159" spans="2:7" ht="46.8" x14ac:dyDescent="0.25">
      <c r="B159" s="8"/>
      <c r="C159" s="42" t="s">
        <v>230</v>
      </c>
      <c r="D159" s="8" t="s">
        <v>42</v>
      </c>
      <c r="E159" s="6">
        <v>0</v>
      </c>
      <c r="F159" s="7">
        <v>5150</v>
      </c>
      <c r="G159" s="7">
        <v>5150</v>
      </c>
    </row>
    <row r="160" spans="2:7" ht="46.8" x14ac:dyDescent="0.25">
      <c r="B160" s="8"/>
      <c r="C160" s="42" t="s">
        <v>231</v>
      </c>
      <c r="D160" s="8" t="s">
        <v>42</v>
      </c>
      <c r="E160" s="6">
        <v>0</v>
      </c>
      <c r="F160" s="7">
        <v>7500</v>
      </c>
      <c r="G160" s="7">
        <v>7500</v>
      </c>
    </row>
    <row r="161" spans="2:7" ht="46.8" x14ac:dyDescent="0.25">
      <c r="B161" s="8"/>
      <c r="C161" s="42" t="s">
        <v>232</v>
      </c>
      <c r="D161" s="8" t="s">
        <v>42</v>
      </c>
      <c r="E161" s="6">
        <v>0</v>
      </c>
      <c r="F161" s="7">
        <v>9000</v>
      </c>
      <c r="G161" s="7">
        <v>9000</v>
      </c>
    </row>
    <row r="162" spans="2:7" ht="46.8" x14ac:dyDescent="0.25">
      <c r="B162" s="8"/>
      <c r="C162" s="42" t="s">
        <v>233</v>
      </c>
      <c r="D162" s="8" t="s">
        <v>42</v>
      </c>
      <c r="E162" s="6">
        <v>0</v>
      </c>
      <c r="F162" s="7">
        <v>18000</v>
      </c>
      <c r="G162" s="7">
        <v>18000</v>
      </c>
    </row>
    <row r="163" spans="2:7" ht="46.8" x14ac:dyDescent="0.25">
      <c r="B163" s="8"/>
      <c r="C163" s="42" t="s">
        <v>234</v>
      </c>
      <c r="D163" s="8" t="s">
        <v>42</v>
      </c>
      <c r="E163" s="6">
        <v>0</v>
      </c>
      <c r="F163" s="7">
        <v>24000</v>
      </c>
      <c r="G163" s="7">
        <v>24000</v>
      </c>
    </row>
    <row r="164" spans="2:7" ht="46.8" x14ac:dyDescent="0.25">
      <c r="B164" s="8"/>
      <c r="C164" s="42" t="s">
        <v>235</v>
      </c>
      <c r="D164" s="8" t="s">
        <v>42</v>
      </c>
      <c r="E164" s="6">
        <v>0</v>
      </c>
      <c r="F164" s="7">
        <v>38000</v>
      </c>
      <c r="G164" s="7">
        <v>38000</v>
      </c>
    </row>
    <row r="165" spans="2:7" ht="93.6" x14ac:dyDescent="0.25">
      <c r="B165" s="43" t="s">
        <v>236</v>
      </c>
      <c r="C165" s="4" t="s">
        <v>237</v>
      </c>
      <c r="D165" s="8"/>
      <c r="E165" s="44"/>
      <c r="F165" s="44"/>
      <c r="G165" s="44"/>
    </row>
    <row r="166" spans="2:7" ht="31.2" x14ac:dyDescent="0.25">
      <c r="B166" s="45"/>
      <c r="C166" s="9" t="s">
        <v>238</v>
      </c>
      <c r="D166" s="8" t="s">
        <v>239</v>
      </c>
      <c r="E166" s="44">
        <v>0</v>
      </c>
      <c r="F166" s="44">
        <f>21*1.25</f>
        <v>26.25</v>
      </c>
      <c r="G166" s="44">
        <f>F166</f>
        <v>26.25</v>
      </c>
    </row>
    <row r="167" spans="2:7" ht="15.6" x14ac:dyDescent="0.25">
      <c r="B167" s="41"/>
      <c r="C167" s="42" t="s">
        <v>240</v>
      </c>
      <c r="D167" s="46" t="s">
        <v>239</v>
      </c>
      <c r="E167" s="47">
        <v>0</v>
      </c>
      <c r="F167" s="47">
        <f>33*1.25</f>
        <v>41.25</v>
      </c>
      <c r="G167" s="44">
        <f>F167</f>
        <v>41.25</v>
      </c>
    </row>
    <row r="168" spans="2:7" ht="22.8" x14ac:dyDescent="0.25">
      <c r="B168" s="175" t="s">
        <v>241</v>
      </c>
      <c r="C168" s="175"/>
      <c r="D168" s="175"/>
      <c r="E168" s="175"/>
      <c r="F168" s="175"/>
      <c r="G168" s="175"/>
    </row>
    <row r="169" spans="2:7" ht="202.8" x14ac:dyDescent="0.25">
      <c r="B169" s="21" t="s">
        <v>242</v>
      </c>
      <c r="C169" s="4" t="s">
        <v>243</v>
      </c>
      <c r="D169" s="10"/>
      <c r="E169" s="6"/>
      <c r="F169" s="6"/>
      <c r="G169" s="7"/>
    </row>
    <row r="170" spans="2:7" ht="41.4" x14ac:dyDescent="0.25">
      <c r="B170" s="21" t="s">
        <v>244</v>
      </c>
      <c r="C170" s="9" t="s">
        <v>245</v>
      </c>
      <c r="D170" s="10" t="s">
        <v>246</v>
      </c>
      <c r="E170" s="6">
        <v>0</v>
      </c>
      <c r="F170" s="6">
        <v>625</v>
      </c>
      <c r="G170" s="7">
        <v>625</v>
      </c>
    </row>
    <row r="171" spans="2:7" ht="41.4" x14ac:dyDescent="0.25">
      <c r="B171" s="21" t="s">
        <v>247</v>
      </c>
      <c r="C171" s="9" t="s">
        <v>248</v>
      </c>
      <c r="D171" s="10" t="s">
        <v>246</v>
      </c>
      <c r="E171" s="6">
        <v>0</v>
      </c>
      <c r="F171" s="6">
        <v>550</v>
      </c>
      <c r="G171" s="7">
        <v>550</v>
      </c>
    </row>
    <row r="172" spans="2:7" ht="202.8" x14ac:dyDescent="0.25">
      <c r="B172" s="21" t="s">
        <v>249</v>
      </c>
      <c r="C172" s="4" t="s">
        <v>250</v>
      </c>
      <c r="D172" s="10"/>
      <c r="E172" s="6"/>
      <c r="F172" s="6"/>
      <c r="G172" s="7"/>
    </row>
    <row r="173" spans="2:7" ht="41.4" x14ac:dyDescent="0.25">
      <c r="B173" s="21" t="s">
        <v>251</v>
      </c>
      <c r="C173" s="9" t="s">
        <v>245</v>
      </c>
      <c r="D173" s="10" t="s">
        <v>246</v>
      </c>
      <c r="E173" s="6">
        <v>0</v>
      </c>
      <c r="F173" s="6">
        <v>575</v>
      </c>
      <c r="G173" s="7">
        <v>575</v>
      </c>
    </row>
    <row r="174" spans="2:7" ht="41.4" x14ac:dyDescent="0.25">
      <c r="B174" s="21" t="s">
        <v>252</v>
      </c>
      <c r="C174" s="9" t="s">
        <v>248</v>
      </c>
      <c r="D174" s="10" t="s">
        <v>246</v>
      </c>
      <c r="E174" s="6">
        <v>0</v>
      </c>
      <c r="F174" s="6">
        <v>500</v>
      </c>
      <c r="G174" s="7">
        <v>500</v>
      </c>
    </row>
    <row r="175" spans="2:7" ht="109.2" x14ac:dyDescent="0.25">
      <c r="B175" s="21" t="s">
        <v>253</v>
      </c>
      <c r="C175" s="4" t="s">
        <v>254</v>
      </c>
      <c r="D175" s="10" t="s">
        <v>255</v>
      </c>
      <c r="E175" s="6">
        <v>0</v>
      </c>
      <c r="F175" s="6">
        <v>1000</v>
      </c>
      <c r="G175" s="7">
        <v>1000</v>
      </c>
    </row>
    <row r="176" spans="2:7" ht="109.2" x14ac:dyDescent="0.25">
      <c r="B176" s="21" t="s">
        <v>256</v>
      </c>
      <c r="C176" s="4" t="s">
        <v>257</v>
      </c>
      <c r="D176" s="10" t="s">
        <v>258</v>
      </c>
      <c r="E176" s="6">
        <v>0</v>
      </c>
      <c r="F176" s="6">
        <v>20200</v>
      </c>
      <c r="G176" s="7">
        <v>20200</v>
      </c>
    </row>
    <row r="177" spans="2:7" ht="78" x14ac:dyDescent="0.25">
      <c r="B177" s="21" t="s">
        <v>259</v>
      </c>
      <c r="C177" s="4" t="s">
        <v>260</v>
      </c>
      <c r="D177" s="10" t="s">
        <v>261</v>
      </c>
      <c r="E177" s="6">
        <v>0</v>
      </c>
      <c r="F177" s="6">
        <v>150000</v>
      </c>
      <c r="G177" s="7">
        <v>150000</v>
      </c>
    </row>
    <row r="178" spans="2:7" ht="46.8" x14ac:dyDescent="0.25">
      <c r="B178" s="21" t="s">
        <v>262</v>
      </c>
      <c r="C178" s="4" t="s">
        <v>263</v>
      </c>
      <c r="D178" s="10" t="s">
        <v>264</v>
      </c>
      <c r="E178" s="6">
        <v>0</v>
      </c>
      <c r="F178" s="6">
        <v>25</v>
      </c>
      <c r="G178" s="7">
        <v>25</v>
      </c>
    </row>
    <row r="179" spans="2:7" ht="41.4" x14ac:dyDescent="0.25">
      <c r="B179" s="21" t="s">
        <v>265</v>
      </c>
      <c r="C179" s="9" t="s">
        <v>266</v>
      </c>
      <c r="D179" s="10" t="s">
        <v>261</v>
      </c>
      <c r="E179" s="6">
        <v>0</v>
      </c>
      <c r="F179" s="6">
        <v>20000</v>
      </c>
      <c r="G179" s="7">
        <v>20000</v>
      </c>
    </row>
    <row r="180" spans="2:7" ht="93.6" x14ac:dyDescent="0.25">
      <c r="B180" s="21" t="s">
        <v>267</v>
      </c>
      <c r="C180" s="4" t="s">
        <v>268</v>
      </c>
      <c r="D180" s="10" t="s">
        <v>261</v>
      </c>
      <c r="E180" s="6">
        <v>0</v>
      </c>
      <c r="F180" s="6">
        <v>175000</v>
      </c>
      <c r="G180" s="7">
        <v>175000</v>
      </c>
    </row>
    <row r="181" spans="2:7" ht="46.8" x14ac:dyDescent="0.25">
      <c r="B181" s="21" t="s">
        <v>269</v>
      </c>
      <c r="C181" s="4" t="s">
        <v>270</v>
      </c>
      <c r="D181" s="10" t="s">
        <v>271</v>
      </c>
      <c r="E181" s="6">
        <v>0</v>
      </c>
      <c r="F181" s="6">
        <v>20000</v>
      </c>
      <c r="G181" s="7">
        <v>20000</v>
      </c>
    </row>
    <row r="182" spans="2:7" ht="140.4" x14ac:dyDescent="0.25">
      <c r="B182" s="21" t="s">
        <v>272</v>
      </c>
      <c r="C182" s="4" t="s">
        <v>273</v>
      </c>
      <c r="D182" s="8" t="s">
        <v>42</v>
      </c>
      <c r="E182" s="6">
        <v>0</v>
      </c>
      <c r="F182" s="7">
        <v>5000</v>
      </c>
      <c r="G182" s="7">
        <f>+E182+F182</f>
        <v>5000</v>
      </c>
    </row>
    <row r="183" spans="2:7" ht="109.2" x14ac:dyDescent="0.25">
      <c r="B183" s="21" t="s">
        <v>274</v>
      </c>
      <c r="C183" s="48" t="s">
        <v>275</v>
      </c>
      <c r="D183" s="49" t="s">
        <v>276</v>
      </c>
      <c r="E183" s="50">
        <v>0</v>
      </c>
      <c r="F183" s="50">
        <v>15150</v>
      </c>
      <c r="G183" s="50">
        <v>15150</v>
      </c>
    </row>
    <row r="184" spans="2:7" ht="78" x14ac:dyDescent="0.25">
      <c r="B184" s="21" t="s">
        <v>277</v>
      </c>
      <c r="C184" s="48" t="s">
        <v>278</v>
      </c>
      <c r="D184" s="49" t="s">
        <v>276</v>
      </c>
      <c r="E184" s="50">
        <v>0</v>
      </c>
      <c r="F184" s="50">
        <v>50500</v>
      </c>
      <c r="G184" s="50">
        <v>50500</v>
      </c>
    </row>
    <row r="185" spans="2:7" ht="93.6" x14ac:dyDescent="0.25">
      <c r="B185" s="21" t="s">
        <v>279</v>
      </c>
      <c r="C185" s="51" t="s">
        <v>280</v>
      </c>
      <c r="D185" s="52" t="s">
        <v>276</v>
      </c>
      <c r="E185" s="53">
        <v>0</v>
      </c>
      <c r="F185" s="53">
        <v>3500</v>
      </c>
      <c r="G185" s="53">
        <v>3500</v>
      </c>
    </row>
    <row r="186" spans="2:7" ht="93.6" x14ac:dyDescent="0.25">
      <c r="B186" s="21" t="s">
        <v>281</v>
      </c>
      <c r="C186" s="48" t="s">
        <v>282</v>
      </c>
      <c r="D186" s="49" t="s">
        <v>276</v>
      </c>
      <c r="E186" s="50">
        <v>0</v>
      </c>
      <c r="F186" s="50">
        <v>10100</v>
      </c>
      <c r="G186" s="50">
        <v>10100</v>
      </c>
    </row>
    <row r="187" spans="2:7" ht="78" x14ac:dyDescent="0.25">
      <c r="B187" s="54" t="s">
        <v>283</v>
      </c>
      <c r="C187" s="51" t="s">
        <v>284</v>
      </c>
      <c r="D187" s="52" t="s">
        <v>276</v>
      </c>
      <c r="E187" s="53">
        <v>0</v>
      </c>
      <c r="F187" s="53">
        <v>6000</v>
      </c>
      <c r="G187" s="53">
        <v>6000</v>
      </c>
    </row>
    <row r="188" spans="2:7" ht="78" x14ac:dyDescent="0.25">
      <c r="B188" s="21" t="s">
        <v>285</v>
      </c>
      <c r="C188" s="51" t="s">
        <v>286</v>
      </c>
      <c r="D188" s="52" t="s">
        <v>276</v>
      </c>
      <c r="E188" s="53">
        <v>0</v>
      </c>
      <c r="F188" s="53">
        <v>7000</v>
      </c>
      <c r="G188" s="53">
        <v>7000</v>
      </c>
    </row>
    <row r="189" spans="2:7" ht="24.6" x14ac:dyDescent="0.25">
      <c r="B189" s="176" t="s">
        <v>287</v>
      </c>
      <c r="C189" s="176"/>
      <c r="D189" s="176"/>
      <c r="E189" s="176"/>
      <c r="F189" s="176"/>
      <c r="G189" s="176"/>
    </row>
    <row r="190" spans="2:7" ht="93.6" x14ac:dyDescent="0.25">
      <c r="B190" s="173" t="s">
        <v>288</v>
      </c>
      <c r="C190" s="55" t="s">
        <v>289</v>
      </c>
      <c r="D190" s="55"/>
      <c r="E190" s="56"/>
      <c r="F190" s="56"/>
      <c r="G190" s="57"/>
    </row>
    <row r="191" spans="2:7" ht="15.6" x14ac:dyDescent="0.25">
      <c r="B191" s="173"/>
      <c r="C191" s="9" t="s">
        <v>290</v>
      </c>
      <c r="D191" s="55"/>
      <c r="E191" s="56"/>
      <c r="F191" s="56"/>
      <c r="G191" s="57"/>
    </row>
    <row r="192" spans="2:7" ht="218.4" x14ac:dyDescent="0.25">
      <c r="B192" s="173"/>
      <c r="C192" s="39" t="s">
        <v>291</v>
      </c>
      <c r="D192" s="58" t="s">
        <v>42</v>
      </c>
      <c r="E192" s="56"/>
      <c r="F192" s="59">
        <v>1555400</v>
      </c>
      <c r="G192" s="57">
        <v>1555400</v>
      </c>
    </row>
    <row r="193" spans="2:7" ht="46.8" x14ac:dyDescent="0.25">
      <c r="B193" s="21" t="s">
        <v>292</v>
      </c>
      <c r="C193" s="9" t="s">
        <v>293</v>
      </c>
      <c r="D193" s="24"/>
      <c r="E193" s="24"/>
      <c r="F193" s="24"/>
      <c r="G193" s="24"/>
    </row>
    <row r="194" spans="2:7" ht="140.4" x14ac:dyDescent="0.25">
      <c r="B194" s="21"/>
      <c r="C194" s="9" t="s">
        <v>294</v>
      </c>
      <c r="D194" s="58" t="s">
        <v>42</v>
      </c>
      <c r="E194" s="22"/>
      <c r="F194" s="59">
        <f>404000*1.1</f>
        <v>444400.00000000006</v>
      </c>
      <c r="G194" s="59">
        <f>F194</f>
        <v>444400.00000000006</v>
      </c>
    </row>
    <row r="195" spans="2:7" ht="22.8" x14ac:dyDescent="0.25">
      <c r="B195" s="174" t="s">
        <v>295</v>
      </c>
      <c r="C195" s="174"/>
      <c r="D195" s="174"/>
      <c r="E195" s="174"/>
      <c r="F195" s="174"/>
      <c r="G195" s="174"/>
    </row>
    <row r="196" spans="2:7" ht="303.75" customHeight="1" x14ac:dyDescent="0.25">
      <c r="B196" s="21" t="s">
        <v>296</v>
      </c>
      <c r="C196" s="60" t="s">
        <v>297</v>
      </c>
      <c r="D196" s="61" t="s">
        <v>298</v>
      </c>
      <c r="E196" s="53">
        <v>0</v>
      </c>
      <c r="F196" s="53">
        <v>13750</v>
      </c>
      <c r="G196" s="62">
        <v>13750</v>
      </c>
    </row>
    <row r="197" spans="2:7" ht="214.2" x14ac:dyDescent="0.25">
      <c r="B197" s="63" t="s">
        <v>299</v>
      </c>
      <c r="C197" s="64" t="s">
        <v>300</v>
      </c>
      <c r="D197" s="65" t="s">
        <v>301</v>
      </c>
      <c r="E197" s="66">
        <v>0</v>
      </c>
      <c r="F197" s="66">
        <v>99000</v>
      </c>
      <c r="G197" s="67">
        <v>99000</v>
      </c>
    </row>
    <row r="198" spans="2:7" ht="316.8" x14ac:dyDescent="0.25">
      <c r="B198" s="68" t="s">
        <v>302</v>
      </c>
      <c r="C198" s="69" t="s">
        <v>303</v>
      </c>
      <c r="D198" s="65" t="s">
        <v>298</v>
      </c>
      <c r="E198" s="66">
        <v>0</v>
      </c>
      <c r="F198" s="66">
        <v>200860</v>
      </c>
      <c r="G198" s="67">
        <v>200860</v>
      </c>
    </row>
    <row r="199" spans="2:7" ht="218.4" x14ac:dyDescent="0.3">
      <c r="B199" s="21" t="s">
        <v>304</v>
      </c>
      <c r="C199" s="70" t="s">
        <v>305</v>
      </c>
      <c r="D199" s="71" t="s">
        <v>301</v>
      </c>
      <c r="E199" s="72">
        <v>0</v>
      </c>
      <c r="F199" s="72">
        <v>3000</v>
      </c>
      <c r="G199" s="73">
        <v>3000</v>
      </c>
    </row>
    <row r="200" spans="2:7" ht="276" x14ac:dyDescent="0.25">
      <c r="B200" s="74" t="s">
        <v>306</v>
      </c>
      <c r="C200" s="75" t="s">
        <v>307</v>
      </c>
      <c r="D200" s="76" t="s">
        <v>301</v>
      </c>
      <c r="E200" s="77">
        <v>0</v>
      </c>
      <c r="F200" s="77">
        <v>337150</v>
      </c>
      <c r="G200" s="78">
        <v>337150</v>
      </c>
    </row>
    <row r="201" spans="2:7" ht="244.8" x14ac:dyDescent="0.25">
      <c r="B201" s="79" t="s">
        <v>308</v>
      </c>
      <c r="C201" s="80" t="s">
        <v>309</v>
      </c>
      <c r="D201" s="65" t="s">
        <v>310</v>
      </c>
      <c r="E201" s="66">
        <v>0</v>
      </c>
      <c r="F201" s="66">
        <v>750000</v>
      </c>
      <c r="G201" s="67">
        <v>750000</v>
      </c>
    </row>
    <row r="202" spans="2:7" ht="347.4" x14ac:dyDescent="0.25">
      <c r="B202" s="68" t="s">
        <v>311</v>
      </c>
      <c r="C202" s="81" t="s">
        <v>312</v>
      </c>
      <c r="D202" s="65" t="s">
        <v>313</v>
      </c>
      <c r="E202" s="66">
        <v>0</v>
      </c>
      <c r="F202" s="66">
        <v>1250000</v>
      </c>
      <c r="G202" s="67">
        <v>1250000</v>
      </c>
    </row>
    <row r="203" spans="2:7" ht="336" x14ac:dyDescent="0.25">
      <c r="B203" s="68" t="s">
        <v>314</v>
      </c>
      <c r="C203" s="81" t="s">
        <v>315</v>
      </c>
      <c r="D203" s="65" t="s">
        <v>310</v>
      </c>
      <c r="E203" s="66">
        <v>0</v>
      </c>
      <c r="F203" s="66">
        <v>1750000</v>
      </c>
      <c r="G203" s="67">
        <v>1750000</v>
      </c>
    </row>
    <row r="204" spans="2:7" ht="41.4" x14ac:dyDescent="0.25">
      <c r="B204" s="21" t="s">
        <v>316</v>
      </c>
      <c r="C204" s="82" t="s">
        <v>317</v>
      </c>
      <c r="D204" s="52" t="s">
        <v>318</v>
      </c>
      <c r="E204" s="53">
        <v>0</v>
      </c>
      <c r="F204" s="62">
        <v>5400</v>
      </c>
      <c r="G204" s="62">
        <v>5400</v>
      </c>
    </row>
    <row r="205" spans="2:7" ht="41.4" x14ac:dyDescent="0.25">
      <c r="B205" s="21" t="s">
        <v>319</v>
      </c>
      <c r="C205" s="82" t="s">
        <v>320</v>
      </c>
      <c r="D205" s="52" t="s">
        <v>318</v>
      </c>
      <c r="E205" s="53">
        <v>0</v>
      </c>
      <c r="F205" s="62">
        <v>2400</v>
      </c>
      <c r="G205" s="62">
        <v>2400</v>
      </c>
    </row>
    <row r="206" spans="2:7" ht="41.4" x14ac:dyDescent="0.25">
      <c r="B206" s="21" t="s">
        <v>321</v>
      </c>
      <c r="C206" s="83" t="s">
        <v>322</v>
      </c>
      <c r="D206" s="52" t="s">
        <v>318</v>
      </c>
      <c r="E206" s="53">
        <v>0</v>
      </c>
      <c r="F206" s="62">
        <v>9000</v>
      </c>
      <c r="G206" s="62">
        <v>9000</v>
      </c>
    </row>
    <row r="207" spans="2:7" ht="41.4" x14ac:dyDescent="0.25">
      <c r="B207" s="21" t="s">
        <v>323</v>
      </c>
      <c r="C207" s="83" t="s">
        <v>324</v>
      </c>
      <c r="D207" s="52" t="s">
        <v>318</v>
      </c>
      <c r="E207" s="53">
        <v>0</v>
      </c>
      <c r="F207" s="62">
        <v>12000</v>
      </c>
      <c r="G207" s="62">
        <v>12000</v>
      </c>
    </row>
    <row r="208" spans="2:7" ht="41.4" x14ac:dyDescent="0.25">
      <c r="B208" s="21" t="s">
        <v>325</v>
      </c>
      <c r="C208" s="82" t="s">
        <v>326</v>
      </c>
      <c r="D208" s="52" t="s">
        <v>318</v>
      </c>
      <c r="E208" s="53">
        <v>0</v>
      </c>
      <c r="F208" s="62">
        <v>3240</v>
      </c>
      <c r="G208" s="62">
        <v>3240</v>
      </c>
    </row>
    <row r="209" spans="2:7" ht="41.4" x14ac:dyDescent="0.25">
      <c r="B209" s="21" t="s">
        <v>327</v>
      </c>
      <c r="C209" s="82" t="s">
        <v>328</v>
      </c>
      <c r="D209" s="52" t="s">
        <v>318</v>
      </c>
      <c r="E209" s="53">
        <v>0</v>
      </c>
      <c r="F209" s="62">
        <v>960</v>
      </c>
      <c r="G209" s="62">
        <v>960</v>
      </c>
    </row>
    <row r="210" spans="2:7" ht="41.4" x14ac:dyDescent="0.25">
      <c r="B210" s="21" t="s">
        <v>329</v>
      </c>
      <c r="C210" s="84" t="s">
        <v>330</v>
      </c>
      <c r="D210" s="52" t="s">
        <v>318</v>
      </c>
      <c r="E210" s="53">
        <v>0</v>
      </c>
      <c r="F210" s="62">
        <v>600</v>
      </c>
      <c r="G210" s="62">
        <v>600</v>
      </c>
    </row>
    <row r="211" spans="2:7" ht="41.4" x14ac:dyDescent="0.25">
      <c r="B211" s="54" t="s">
        <v>331</v>
      </c>
      <c r="C211" s="82" t="s">
        <v>332</v>
      </c>
      <c r="D211" s="52" t="s">
        <v>318</v>
      </c>
      <c r="E211" s="53">
        <v>0</v>
      </c>
      <c r="F211" s="62">
        <v>240</v>
      </c>
      <c r="G211" s="62">
        <v>240</v>
      </c>
    </row>
    <row r="212" spans="2:7" ht="41.4" x14ac:dyDescent="0.25">
      <c r="B212" s="21" t="s">
        <v>333</v>
      </c>
      <c r="C212" s="82" t="s">
        <v>334</v>
      </c>
      <c r="D212" s="52" t="s">
        <v>318</v>
      </c>
      <c r="E212" s="53">
        <v>0</v>
      </c>
      <c r="F212" s="62">
        <v>240</v>
      </c>
      <c r="G212" s="62">
        <v>240</v>
      </c>
    </row>
    <row r="213" spans="2:7" ht="41.4" x14ac:dyDescent="0.25">
      <c r="B213" s="21" t="s">
        <v>335</v>
      </c>
      <c r="C213" s="82" t="s">
        <v>336</v>
      </c>
      <c r="D213" s="52" t="s">
        <v>318</v>
      </c>
      <c r="E213" s="53">
        <v>0</v>
      </c>
      <c r="F213" s="62">
        <v>240</v>
      </c>
      <c r="G213" s="62">
        <v>240</v>
      </c>
    </row>
    <row r="214" spans="2:7" ht="93.6" x14ac:dyDescent="0.25">
      <c r="B214" s="21" t="s">
        <v>337</v>
      </c>
      <c r="C214" s="84" t="s">
        <v>338</v>
      </c>
      <c r="D214" s="52" t="s">
        <v>339</v>
      </c>
      <c r="E214" s="53">
        <v>0</v>
      </c>
      <c r="F214" s="62">
        <v>12000</v>
      </c>
      <c r="G214" s="62">
        <v>12000</v>
      </c>
    </row>
    <row r="215" spans="2:7" ht="46.8" x14ac:dyDescent="0.25">
      <c r="B215" s="21" t="s">
        <v>340</v>
      </c>
      <c r="C215" s="65" t="s">
        <v>341</v>
      </c>
      <c r="D215" s="52" t="s">
        <v>339</v>
      </c>
      <c r="E215" s="53">
        <v>0</v>
      </c>
      <c r="F215" s="62">
        <v>30</v>
      </c>
      <c r="G215" s="62">
        <v>30</v>
      </c>
    </row>
    <row r="216" spans="2:7" ht="93.6" x14ac:dyDescent="0.25">
      <c r="B216" s="21" t="s">
        <v>342</v>
      </c>
      <c r="C216" s="82" t="s">
        <v>343</v>
      </c>
      <c r="D216" s="52" t="s">
        <v>318</v>
      </c>
      <c r="E216" s="53">
        <v>0</v>
      </c>
      <c r="F216" s="53">
        <v>4350</v>
      </c>
      <c r="G216" s="62">
        <v>4350</v>
      </c>
    </row>
    <row r="217" spans="2:7" ht="288" x14ac:dyDescent="0.25">
      <c r="B217" s="63" t="s">
        <v>344</v>
      </c>
      <c r="C217" s="85" t="s">
        <v>345</v>
      </c>
      <c r="D217" s="86" t="s">
        <v>346</v>
      </c>
      <c r="E217" s="66">
        <v>0</v>
      </c>
      <c r="F217" s="67">
        <v>1850000</v>
      </c>
      <c r="G217" s="87">
        <v>1850000</v>
      </c>
    </row>
    <row r="218" spans="2:7" ht="187.2" x14ac:dyDescent="0.25">
      <c r="B218" s="21" t="s">
        <v>347</v>
      </c>
      <c r="C218" s="48" t="s">
        <v>348</v>
      </c>
      <c r="D218" s="88" t="s">
        <v>349</v>
      </c>
      <c r="E218" s="89">
        <v>0</v>
      </c>
      <c r="F218" s="89">
        <v>31500</v>
      </c>
      <c r="G218" s="89">
        <v>31500</v>
      </c>
    </row>
    <row r="219" spans="2:7" ht="312" x14ac:dyDescent="0.25">
      <c r="B219" s="21" t="s">
        <v>350</v>
      </c>
      <c r="C219" s="48" t="s">
        <v>351</v>
      </c>
      <c r="D219" s="88" t="s">
        <v>310</v>
      </c>
      <c r="E219" s="89">
        <v>0</v>
      </c>
      <c r="F219" s="89">
        <v>57750</v>
      </c>
      <c r="G219" s="89">
        <v>57750</v>
      </c>
    </row>
    <row r="220" spans="2:7" ht="306" x14ac:dyDescent="0.25">
      <c r="B220" s="90" t="s">
        <v>352</v>
      </c>
      <c r="C220" s="91" t="s">
        <v>353</v>
      </c>
      <c r="D220" s="88"/>
      <c r="E220" s="92">
        <v>0</v>
      </c>
      <c r="F220" s="93">
        <v>325000</v>
      </c>
      <c r="G220" s="92">
        <f t="shared" ref="G220:G224" si="12">(F220+E220)</f>
        <v>325000</v>
      </c>
    </row>
    <row r="221" spans="2:7" ht="244.8" x14ac:dyDescent="0.25">
      <c r="B221" s="90" t="s">
        <v>354</v>
      </c>
      <c r="C221" s="94" t="s">
        <v>355</v>
      </c>
      <c r="D221" s="88"/>
      <c r="E221" s="89">
        <v>0</v>
      </c>
      <c r="F221" s="93">
        <v>500000</v>
      </c>
      <c r="G221" s="89">
        <f t="shared" si="12"/>
        <v>500000</v>
      </c>
    </row>
    <row r="222" spans="2:7" ht="216" x14ac:dyDescent="0.25">
      <c r="B222" s="90" t="s">
        <v>356</v>
      </c>
      <c r="C222" s="94" t="s">
        <v>357</v>
      </c>
      <c r="D222" s="88"/>
      <c r="E222" s="89">
        <v>0</v>
      </c>
      <c r="F222" s="93">
        <v>125000</v>
      </c>
      <c r="G222" s="89">
        <f t="shared" si="12"/>
        <v>125000</v>
      </c>
    </row>
    <row r="223" spans="2:7" ht="358.8" x14ac:dyDescent="0.25">
      <c r="B223" s="90" t="s">
        <v>358</v>
      </c>
      <c r="C223" s="95" t="s">
        <v>359</v>
      </c>
      <c r="D223" s="88"/>
      <c r="E223" s="89">
        <v>0</v>
      </c>
      <c r="F223" s="93">
        <v>200000</v>
      </c>
      <c r="G223" s="92">
        <f t="shared" si="12"/>
        <v>200000</v>
      </c>
    </row>
    <row r="224" spans="2:7" ht="230.4" x14ac:dyDescent="0.25">
      <c r="B224" s="90" t="s">
        <v>360</v>
      </c>
      <c r="C224" s="94" t="s">
        <v>361</v>
      </c>
      <c r="D224" s="88"/>
      <c r="E224" s="92">
        <v>0</v>
      </c>
      <c r="F224" s="93">
        <v>300000</v>
      </c>
      <c r="G224" s="92">
        <f t="shared" si="12"/>
        <v>300000</v>
      </c>
    </row>
  </sheetData>
  <mergeCells count="20">
    <mergeCell ref="B190:B192"/>
    <mergeCell ref="B195:G195"/>
    <mergeCell ref="C14:G14"/>
    <mergeCell ref="C15:G15"/>
    <mergeCell ref="B133:G133"/>
    <mergeCell ref="B153:G153"/>
    <mergeCell ref="B168:G168"/>
    <mergeCell ref="B189:G189"/>
    <mergeCell ref="C13:G13"/>
    <mergeCell ref="B2:G2"/>
    <mergeCell ref="B3:G3"/>
    <mergeCell ref="B4:G4"/>
    <mergeCell ref="C5:G5"/>
    <mergeCell ref="C6:G6"/>
    <mergeCell ref="C7:G7"/>
    <mergeCell ref="C8:G8"/>
    <mergeCell ref="C9:G9"/>
    <mergeCell ref="C10:G10"/>
    <mergeCell ref="C11:G11"/>
    <mergeCell ref="C12:G12"/>
  </mergeCells>
  <pageMargins left="0.5" right="0" top="0.75" bottom="0.75" header="0.3" footer="0.3"/>
  <pageSetup paperSize="9" scale="97" orientation="portrait" r:id="rId1"/>
  <rowBreaks count="3" manualBreakCount="3">
    <brk id="152" min="1" max="6" man="1"/>
    <brk id="167" min="1" max="6" man="1"/>
    <brk id="194"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GD</vt:lpstr>
      <vt:lpstr>EST</vt:lpstr>
      <vt:lpstr>RA </vt:lpstr>
      <vt:lpstr>LED TV</vt:lpstr>
      <vt:lpstr>Sound</vt:lpstr>
      <vt:lpstr>chapter 11</vt:lpstr>
      <vt:lpstr>'chapter 11'!Print_Area</vt:lpstr>
      <vt:lpstr>EST!Print_Area</vt:lpstr>
      <vt:lpstr>'LED TV'!Print_Area</vt:lpstr>
      <vt:lpstr>'RA '!Print_Area</vt:lpstr>
      <vt:lpstr>Sound!Print_Area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2025-02-11T18:07:03Z</dcterms:modified>
</cp:coreProperties>
</file>